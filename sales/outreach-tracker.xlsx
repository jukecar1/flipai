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Prospects" sheetId="3" state="visible" r:id="rId3"/>
    <sheet name="Weekly" sheetId="4" state="visible" r:id="rId4"/>
  </sheets>
  <definedNames>
    <definedName name="_xlnm._FilterDatabase" localSheetId="2" hidden="1">'Prospects'!$A$1:$R$201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mmm d, yyyy"/>
    <numFmt numFmtId="166" formatCode="$#,##0;($#,##0);-"/>
    <numFmt numFmtId="167" formatCode="$#,##0"/>
    <numFmt numFmtId="168" formatCode="0.0"/>
    <numFmt numFmtId="169" formatCode="0.0%"/>
    <numFmt numFmtId="170" formatCode="mmm d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3F6FB"/>
      </patternFill>
    </fill>
    <fill>
      <patternFill patternType="solid">
        <fgColor rgb="0015407A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3" borderId="0" applyAlignment="1" pivotButton="0" quotePrefix="0" xfId="0">
      <alignment wrapText="1"/>
    </xf>
    <xf numFmtId="0" fontId="3" fillId="0" borderId="0" pivotButton="0" quotePrefix="0" xfId="0"/>
    <xf numFmtId="165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5" fontId="5" fillId="4" borderId="0" pivotButton="0" quotePrefix="0" xfId="0"/>
    <xf numFmtId="0" fontId="6" fillId="0" borderId="0" pivotButton="0" quotePrefix="0" xfId="0"/>
    <xf numFmtId="1" fontId="5" fillId="4" borderId="0" pivotButton="0" quotePrefix="0" xfId="0"/>
    <xf numFmtId="167" fontId="5" fillId="4" borderId="0" pivotButton="0" quotePrefix="0" xfId="0"/>
    <xf numFmtId="168" fontId="5" fillId="4" borderId="0" pivotButton="0" quotePrefix="0" xfId="0"/>
    <xf numFmtId="1" fontId="3" fillId="0" borderId="0" pivotButton="0" quotePrefix="0" xfId="0"/>
    <xf numFmtId="169" fontId="3" fillId="0" borderId="0" pivotButton="0" quotePrefix="0" xfId="0"/>
    <xf numFmtId="166" fontId="3" fillId="0" borderId="0" pivotButton="0" quotePrefix="0" xfId="0"/>
    <xf numFmtId="168" fontId="3" fillId="0" borderId="0" pivotButton="0" quotePrefix="0" xfId="0"/>
    <xf numFmtId="0" fontId="2" fillId="0" borderId="0" applyAlignment="1" pivotButton="0" quotePrefix="0" xfId="0">
      <alignment wrapText="1"/>
    </xf>
    <xf numFmtId="169" fontId="5" fillId="4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3" fillId="4" borderId="1" pivotButton="0" quotePrefix="0" xfId="0"/>
    <xf numFmtId="165" fontId="3" fillId="4" borderId="1" pivotButton="0" quotePrefix="0" xfId="0"/>
    <xf numFmtId="166" fontId="3" fillId="4" borderId="1" pivotButton="0" quotePrefix="0" xfId="0"/>
    <xf numFmtId="0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0" fontId="4" fillId="3" borderId="0" applyAlignment="1" pivotButton="0" quotePrefix="0" xfId="0">
      <alignment horizontal="center" wrapText="1"/>
    </xf>
    <xf numFmtId="170" fontId="3" fillId="0" borderId="0" pivotButton="0" quotePrefix="0" xfId="0"/>
    <xf numFmtId="9" fontId="3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Outreach Test Tracker</t>
        </is>
      </c>
    </row>
    <row r="3" ht="48" customHeight="1">
      <c r="A3" s="2" t="inlineStr">
        <is>
          <t>Goal</t>
        </is>
      </c>
      <c r="B3" s="3" t="inlineStr">
        <is>
          <t>Contact 100 qualified local trades businesses in about 6 weeks, then read the numbers on the Dashboard and decide what to change. (100 and 6 are editable on the Dashboard.)</t>
        </is>
      </c>
    </row>
    <row r="4" ht="48" customHeight="1">
      <c r="A4" s="2" t="inlineStr">
        <is>
          <t>How to use</t>
        </is>
      </c>
      <c r="B4" s="3" t="inlineStr">
        <is>
          <t>1) Add each business to the Prospects tab, one row each.  2) Run the 5-step vetting check below BEFORE building anything.  3) Update Date contacted, Replied, Draft shown, and Status as things happen.  4) Dashboard and Weekly fill in automatically.</t>
        </is>
      </c>
    </row>
    <row r="5" ht="48" customHeight="1">
      <c r="A5" s="2" t="inlineStr">
        <is>
          <t>Colors</t>
        </is>
      </c>
      <c r="B5" s="3" t="inlineStr">
        <is>
          <t>Blue text = a number you chose and can change.  Yellow cells = cells you are meant to fill in.  Black text = formulas, do not type over them.</t>
        </is>
      </c>
    </row>
    <row r="6" ht="78" customHeight="1">
      <c r="A6" s="2" t="inlineStr">
        <is>
          <t>5-step vetting check</t>
        </is>
      </c>
      <c r="B6" s="3" t="inlineStr">
        <is>
          <t>1) Search the business name on regular Google (not the ad listing).  2) On the normal Google Maps listing, look for a Website button.  3) Check their Facebook About section for a link.  4) Search the name plus city and scan page one.  5) If all four show no site, mark Website status = No site. If the site is clearly bad (not mobile friendly, very slow, outdated, no call button), mark Bad site. Otherwise mark Has good site and set Status = Skipped.</t>
        </is>
      </c>
    </row>
    <row r="7" ht="48" customHeight="1">
      <c r="A7" s="2" t="inlineStr">
        <is>
          <t>Status meanings</t>
        </is>
      </c>
      <c r="B7" s="3" t="inlineStr">
        <is>
          <t>New = found, not contacted.  Contacted = first message sent.  Replied = they answered.  Draft shown = they saw your sample.  Interested = asked about price or next steps.  Closed won = paying client.  Closed lost = said no.  No response = no reply after one follow-up.  Skipped = failed vetting.</t>
        </is>
      </c>
    </row>
    <row r="8" ht="48" customHeight="1">
      <c r="A8" s="2" t="inlineStr">
        <is>
          <t>Follow-up rule</t>
        </is>
      </c>
      <c r="B8" s="3" t="inlineStr">
        <is>
          <t>Follow up once, about 3 days after the first contact. The Follow-up due column flags these. After one follow-up with no reply, set Status = No response and move on.</t>
        </is>
      </c>
    </row>
    <row r="9" ht="48" customHeight="1">
      <c r="A9" s="2" t="inlineStr">
        <is>
          <t>Stop and change rule</t>
        </is>
      </c>
      <c r="B9" s="3" t="inlineStr">
        <is>
          <t>If you have contacted all your target businesses with zero sales, change ONE thing at a time (niche, offer, price, or how you reach people) and run another batch.</t>
        </is>
      </c>
    </row>
    <row r="10" ht="48" customHeight="1">
      <c r="A10" s="2" t="inlineStr">
        <is>
          <t>Assumptions to replace</t>
        </is>
      </c>
      <c r="B10" s="3" t="inlineStr">
        <is>
          <t>Close-rate scenarios on the Dashboard (1%, 3%, 5%) are planning guesses from our conversation, not market data. Replace them with your real close rate once you have results.</t>
        </is>
      </c>
    </row>
    <row r="12">
      <c r="A12" s="4" t="inlineStr">
        <is>
          <t>Example row (format only; do not copy into Prospects)</t>
        </is>
      </c>
    </row>
    <row r="13">
      <c r="A13" s="5" t="inlineStr">
        <is>
          <t>Business</t>
        </is>
      </c>
      <c r="B13" s="5" t="inlineStr">
        <is>
          <t>Trade</t>
        </is>
      </c>
      <c r="C13" s="5" t="inlineStr">
        <is>
          <t>Town</t>
        </is>
      </c>
      <c r="D13" s="5" t="inlineStr">
        <is>
          <t>Phone</t>
        </is>
      </c>
      <c r="E13" s="5" t="inlineStr">
        <is>
          <t>Rating</t>
        </is>
      </c>
      <c r="F13" s="5" t="inlineStr">
        <is>
          <t>Reviews</t>
        </is>
      </c>
      <c r="G13" s="5" t="inlineStr">
        <is>
          <t>Website status</t>
        </is>
      </c>
      <c r="H13" s="5" t="inlineStr">
        <is>
          <t>Passed vetting</t>
        </is>
      </c>
      <c r="I13" s="5" t="inlineStr">
        <is>
          <t>Date contacted</t>
        </is>
      </c>
      <c r="J13" s="5" t="inlineStr">
        <is>
          <t>Channel</t>
        </is>
      </c>
      <c r="K13" s="5" t="inlineStr">
        <is>
          <t>Replied</t>
        </is>
      </c>
      <c r="L13" s="5" t="inlineStr">
        <is>
          <t>Draft shown</t>
        </is>
      </c>
      <c r="M13" s="5" t="inlineStr">
        <is>
          <t>Status</t>
        </is>
      </c>
      <c r="N13" s="5" t="inlineStr">
        <is>
          <t>Setup fee</t>
        </is>
      </c>
      <c r="O13" s="5" t="inlineStr">
        <is>
          <t>Monthly fee</t>
        </is>
      </c>
    </row>
    <row r="14">
      <c r="A14" s="6" t="inlineStr">
        <is>
          <t>Example Plumbing Co.</t>
        </is>
      </c>
      <c r="B14" s="6" t="inlineStr">
        <is>
          <t>Plumber</t>
        </is>
      </c>
      <c r="C14" s="6" t="inlineStr">
        <is>
          <t>Pace</t>
        </is>
      </c>
      <c r="D14" s="6" t="inlineStr">
        <is>
          <t>(850) 555-0100</t>
        </is>
      </c>
      <c r="E14" s="6" t="n">
        <v>4.7</v>
      </c>
      <c r="F14" s="6" t="n">
        <v>82</v>
      </c>
      <c r="G14" s="6" t="inlineStr">
        <is>
          <t>No site</t>
        </is>
      </c>
      <c r="H14" s="6" t="inlineStr">
        <is>
          <t>Yes</t>
        </is>
      </c>
      <c r="I14" s="7" t="n">
        <v>46301</v>
      </c>
      <c r="J14" s="6" t="inlineStr">
        <is>
          <t>Call</t>
        </is>
      </c>
      <c r="K14" s="6" t="inlineStr">
        <is>
          <t>Yes</t>
        </is>
      </c>
      <c r="L14" s="6" t="inlineStr">
        <is>
          <t>Yes</t>
        </is>
      </c>
      <c r="M14" s="6" t="inlineStr">
        <is>
          <t>Draft shown</t>
        </is>
      </c>
      <c r="N14" s="6" t="n"/>
      <c r="O14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60" customWidth="1" min="3" max="3"/>
    <col width="20" customWidth="1" min="4" max="4"/>
    <col width="20" customWidth="1" min="5" max="5"/>
  </cols>
  <sheetData>
    <row r="1">
      <c r="A1" s="1" t="inlineStr">
        <is>
          <t>Dashboard</t>
        </is>
      </c>
    </row>
    <row r="3">
      <c r="A3" s="8" t="inlineStr">
        <is>
          <t>Inputs (change these)</t>
        </is>
      </c>
      <c r="B3" s="9" t="n"/>
      <c r="C3" s="9" t="n"/>
    </row>
    <row r="4">
      <c r="A4" s="6" t="inlineStr">
        <is>
          <t>Test start date</t>
        </is>
      </c>
      <c r="B4" s="10" t="n">
        <v>46300</v>
      </c>
      <c r="C4" s="11" t="inlineStr">
        <is>
          <t>Monday of your first outreach week</t>
        </is>
      </c>
    </row>
    <row r="5">
      <c r="A5" s="6" t="inlineStr">
        <is>
          <t>Target businesses to contact</t>
        </is>
      </c>
      <c r="B5" s="12" t="n">
        <v>100</v>
      </c>
      <c r="C5" s="11" t="inlineStr">
        <is>
          <t>From our plan: 100 qualified businesses</t>
        </is>
      </c>
    </row>
    <row r="6">
      <c r="A6" s="6" t="inlineStr">
        <is>
          <t>Test length (weeks)</t>
        </is>
      </c>
      <c r="B6" s="12" t="n">
        <v>6</v>
      </c>
      <c r="C6" s="11" t="inlineStr">
        <is>
          <t>From our plan: about 6 weeks</t>
        </is>
      </c>
    </row>
    <row r="7">
      <c r="A7" s="6" t="inlineStr">
        <is>
          <t>Typical setup fee ($)</t>
        </is>
      </c>
      <c r="B7" s="13" t="n">
        <v>1000</v>
      </c>
      <c r="C7" s="11" t="inlineStr">
        <is>
          <t>Planning number from our pricing discussion; first client may be half price</t>
        </is>
      </c>
    </row>
    <row r="8">
      <c r="A8" s="6" t="inlineStr">
        <is>
          <t>Typical monthly fee ($)</t>
        </is>
      </c>
      <c r="B8" s="13" t="n">
        <v>50</v>
      </c>
      <c r="C8" s="11" t="inlineStr">
        <is>
          <t>Planning number from our pricing discussion</t>
        </is>
      </c>
    </row>
    <row r="9">
      <c r="A9" s="6" t="inlineStr">
        <is>
          <t>Minutes per outreach (vetting + message)</t>
        </is>
      </c>
      <c r="B9" s="12" t="n">
        <v>10</v>
      </c>
      <c r="C9" s="11" t="inlineStr">
        <is>
          <t>Estimate; replace with your real time</t>
        </is>
      </c>
    </row>
    <row r="10">
      <c r="A10" s="6" t="inlineStr">
        <is>
          <t>Hours per draft site</t>
        </is>
      </c>
      <c r="B10" s="14" t="n">
        <v>2</v>
      </c>
      <c r="C10" s="11" t="inlineStr">
        <is>
          <t>Estimate; replace with your real time</t>
        </is>
      </c>
    </row>
    <row r="12">
      <c r="A12" s="8" t="inlineStr">
        <is>
          <t>Results (automatic)</t>
        </is>
      </c>
      <c r="B12" s="9" t="n"/>
      <c r="C12" s="9" t="n"/>
    </row>
    <row r="13">
      <c r="A13" s="6" t="inlineStr">
        <is>
          <t>Prospects logged</t>
        </is>
      </c>
      <c r="B13" s="15">
        <f>COUNTA(Prospects!$B$2:$B$201)</f>
        <v/>
      </c>
    </row>
    <row r="14">
      <c r="A14" s="6" t="inlineStr">
        <is>
          <t>Skipped after vetting</t>
        </is>
      </c>
      <c r="B14" s="15">
        <f>COUNTIF(Prospects!$N$2:$N$201,"Skipped")</f>
        <v/>
      </c>
    </row>
    <row r="15">
      <c r="A15" s="6" t="inlineStr">
        <is>
          <t>Businesses contacted</t>
        </is>
      </c>
      <c r="B15" s="15">
        <f>COUNT(Prospects!$J$2:$J$201)</f>
        <v/>
      </c>
    </row>
    <row r="16">
      <c r="A16" s="6" t="inlineStr">
        <is>
          <t>Replies</t>
        </is>
      </c>
      <c r="B16" s="15">
        <f>COUNTIF(Prospects!$L$2:$L$201,"Yes")</f>
        <v/>
      </c>
    </row>
    <row r="17">
      <c r="A17" s="6" t="inlineStr">
        <is>
          <t>Reply rate</t>
        </is>
      </c>
      <c r="B17" s="16">
        <f>IF(B15=0,0,B16/B15)</f>
        <v/>
      </c>
    </row>
    <row r="18">
      <c r="A18" s="6" t="inlineStr">
        <is>
          <t>Drafts shown</t>
        </is>
      </c>
      <c r="B18" s="15">
        <f>COUNTIF(Prospects!$M$2:$M$201,"Yes")</f>
        <v/>
      </c>
    </row>
    <row r="19">
      <c r="A19" s="6" t="inlineStr">
        <is>
          <t>Clients won</t>
        </is>
      </c>
      <c r="B19" s="15">
        <f>COUNTIF(Prospects!$N$2:$N$201,"Closed won")</f>
        <v/>
      </c>
    </row>
    <row r="20">
      <c r="A20" s="6" t="inlineStr">
        <is>
          <t>Close rate (won / contacted)</t>
        </is>
      </c>
      <c r="B20" s="16">
        <f>IF(B15=0,0,B19/B15)</f>
        <v/>
      </c>
    </row>
    <row r="21">
      <c r="A21" s="6" t="inlineStr">
        <is>
          <t>Setup revenue ($)</t>
        </is>
      </c>
      <c r="B21" s="17">
        <f>SUMIFS(Prospects!$O$2:$O$201,Prospects!$N$2:$N$201,"Closed won")</f>
        <v/>
      </c>
    </row>
    <row r="22">
      <c r="A22" s="6" t="inlineStr">
        <is>
          <t>Monthly recurring revenue ($)</t>
        </is>
      </c>
      <c r="B22" s="17">
        <f>SUMIFS(Prospects!$P$2:$P$201,Prospects!$N$2:$N$201,"Closed won")</f>
        <v/>
      </c>
    </row>
    <row r="23">
      <c r="A23" s="6" t="inlineStr">
        <is>
          <t>Estimated hours worked</t>
        </is>
      </c>
      <c r="B23" s="18">
        <f>B15*B9/60+B18*B10</f>
        <v/>
      </c>
    </row>
    <row r="24">
      <c r="A24" s="6" t="inlineStr">
        <is>
          <t>Setup revenue per hour worked ($)</t>
        </is>
      </c>
      <c r="B24" s="17">
        <f>IF(B23=0,0,B21/B23)</f>
        <v/>
      </c>
    </row>
    <row r="25">
      <c r="A25" s="6" t="inlineStr">
        <is>
          <t>Contacts remaining to reach target</t>
        </is>
      </c>
      <c r="B25" s="15">
        <f>MAX(0,B5-B15)</f>
        <v/>
      </c>
    </row>
    <row r="27">
      <c r="A27" s="4" t="inlineStr">
        <is>
          <t>Signal</t>
        </is>
      </c>
      <c r="B27" s="4">
        <f>IF(B15&lt;B5,"Keep going: "&amp;B25&amp;" more contacts to finish the test",IF(B19=0,"Test finished with no sales: change ONE thing (niche, offer, price, or channel)","Test finished: demand shown ("&amp;B19&amp;" sales)"))</f>
        <v/>
      </c>
    </row>
    <row r="29">
      <c r="A29" s="8" t="inlineStr">
        <is>
          <t>What-if: results from your target number of contacts</t>
        </is>
      </c>
      <c r="B29" s="9" t="n"/>
      <c r="C29" s="9" t="n"/>
      <c r="D29" s="9" t="n"/>
      <c r="E29" s="9" t="n"/>
    </row>
    <row r="30" ht="30" customHeight="1">
      <c r="A30" s="19" t="inlineStr">
        <is>
          <t>Close rate (planning guess)</t>
        </is>
      </c>
      <c r="B30" s="19" t="inlineStr">
        <is>
          <t>Clients</t>
        </is>
      </c>
      <c r="C30" s="19" t="inlineStr">
        <is>
          <t>Setup revenue ($)</t>
        </is>
      </c>
      <c r="D30" s="19" t="inlineStr">
        <is>
          <t>Monthly recurring ($)</t>
        </is>
      </c>
      <c r="E30" s="19" t="inlineStr">
        <is>
          <t>Year-1 revenue ($, no cancellations)</t>
        </is>
      </c>
    </row>
    <row r="31">
      <c r="A31" s="20" t="n">
        <v>0.01</v>
      </c>
      <c r="B31" s="18">
        <f>$B$5*A31</f>
        <v/>
      </c>
      <c r="C31" s="17">
        <f>B31*$B$7</f>
        <v/>
      </c>
      <c r="D31" s="17">
        <f>B31*$B$8</f>
        <v/>
      </c>
      <c r="E31" s="17">
        <f>C31+D31*12</f>
        <v/>
      </c>
    </row>
    <row r="32">
      <c r="A32" s="20" t="n">
        <v>0.03</v>
      </c>
      <c r="B32" s="18">
        <f>$B$5*A32</f>
        <v/>
      </c>
      <c r="C32" s="17">
        <f>B32*$B$7</f>
        <v/>
      </c>
      <c r="D32" s="17">
        <f>B32*$B$8</f>
        <v/>
      </c>
      <c r="E32" s="17">
        <f>C32+D32*12</f>
        <v/>
      </c>
    </row>
    <row r="33">
      <c r="A33" s="20" t="n">
        <v>0.05</v>
      </c>
      <c r="B33" s="18">
        <f>$B$5*A33</f>
        <v/>
      </c>
      <c r="C33" s="17">
        <f>B33*$B$7</f>
        <v/>
      </c>
      <c r="D33" s="17">
        <f>B33*$B$8</f>
        <v/>
      </c>
      <c r="E33" s="17">
        <f>C33+D33*12</f>
        <v/>
      </c>
    </row>
    <row r="35">
      <c r="A35" s="11" t="inlineStr">
        <is>
          <t>Note: 1%, 3%, and 5% are planning guesses from our conversation, not data. Replace with your actual close rate.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6" customWidth="1" min="4" max="4"/>
    <col width="16" customWidth="1" min="5" max="5"/>
    <col width="10" customWidth="1" min="6" max="6"/>
    <col width="9" customWidth="1" min="7" max="7"/>
    <col width="15" customWidth="1" min="8" max="8"/>
    <col width="11" customWidth="1" min="9" max="9"/>
    <col width="14" customWidth="1" min="10" max="10"/>
    <col width="11" customWidth="1" min="11" max="11"/>
    <col width="9" customWidth="1" min="12" max="12"/>
    <col width="11" customWidth="1" min="13" max="13"/>
    <col width="14" customWidth="1" min="14" max="14"/>
    <col width="12" customWidth="1" min="15" max="15"/>
    <col width="13" customWidth="1" min="16" max="16"/>
    <col width="13" customWidth="1" min="17" max="17"/>
    <col width="40" customWidth="1" min="18" max="18"/>
  </cols>
  <sheetData>
    <row r="1" ht="32" customHeight="1">
      <c r="A1" s="21" t="inlineStr">
        <is>
          <t>#</t>
        </is>
      </c>
      <c r="B1" s="21" t="inlineStr">
        <is>
          <t>Business</t>
        </is>
      </c>
      <c r="C1" s="21" t="inlineStr">
        <is>
          <t>Trade</t>
        </is>
      </c>
      <c r="D1" s="21" t="inlineStr">
        <is>
          <t>Town</t>
        </is>
      </c>
      <c r="E1" s="21" t="inlineStr">
        <is>
          <t>Phone</t>
        </is>
      </c>
      <c r="F1" s="21" t="inlineStr">
        <is>
          <t>Google rating</t>
        </is>
      </c>
      <c r="G1" s="21" t="inlineStr">
        <is>
          <t>Reviews</t>
        </is>
      </c>
      <c r="H1" s="21" t="inlineStr">
        <is>
          <t>Website status</t>
        </is>
      </c>
      <c r="I1" s="21" t="inlineStr">
        <is>
          <t>Passed vetting</t>
        </is>
      </c>
      <c r="J1" s="21" t="inlineStr">
        <is>
          <t>Date contacted</t>
        </is>
      </c>
      <c r="K1" s="21" t="inlineStr">
        <is>
          <t>Channel</t>
        </is>
      </c>
      <c r="L1" s="21" t="inlineStr">
        <is>
          <t>Replied</t>
        </is>
      </c>
      <c r="M1" s="21" t="inlineStr">
        <is>
          <t>Draft shown</t>
        </is>
      </c>
      <c r="N1" s="21" t="inlineStr">
        <is>
          <t>Status</t>
        </is>
      </c>
      <c r="O1" s="21" t="inlineStr">
        <is>
          <t>Setup fee ($)</t>
        </is>
      </c>
      <c r="P1" s="21" t="inlineStr">
        <is>
          <t>Monthly fee ($)</t>
        </is>
      </c>
      <c r="Q1" s="21" t="inlineStr">
        <is>
          <t>Follow-up due</t>
        </is>
      </c>
      <c r="R1" s="21" t="inlineStr">
        <is>
          <t>Notes</t>
        </is>
      </c>
    </row>
    <row r="2">
      <c r="A2" s="6" t="n">
        <v>1</v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3" t="n"/>
      <c r="K2" s="22" t="n"/>
      <c r="L2" s="22" t="n"/>
      <c r="M2" s="22" t="n"/>
      <c r="N2" s="22" t="n"/>
      <c r="O2" s="24" t="n"/>
      <c r="P2" s="24" t="n"/>
      <c r="Q2" s="25">
        <f>IF(AND(J2&lt;&gt;"",L2&lt;&gt;"Yes",N2&lt;&gt;"Closed won",N2&lt;&gt;"Closed lost",N2&lt;&gt;"No response",N2&lt;&gt;"Skipped",TODAY()-J2&gt;=3),"Follow up","")</f>
        <v/>
      </c>
      <c r="R2" s="22" t="n"/>
    </row>
    <row r="3">
      <c r="A3" s="6" t="n">
        <v>2</v>
      </c>
      <c r="B3" s="22" t="n"/>
      <c r="C3" s="22" t="n"/>
      <c r="D3" s="22" t="n"/>
      <c r="E3" s="22" t="n"/>
      <c r="F3" s="22" t="n"/>
      <c r="G3" s="22" t="n"/>
      <c r="H3" s="22" t="n"/>
      <c r="I3" s="22" t="n"/>
      <c r="J3" s="23" t="n"/>
      <c r="K3" s="22" t="n"/>
      <c r="L3" s="22" t="n"/>
      <c r="M3" s="22" t="n"/>
      <c r="N3" s="22" t="n"/>
      <c r="O3" s="24" t="n"/>
      <c r="P3" s="24" t="n"/>
      <c r="Q3" s="25">
        <f>IF(AND(J3&lt;&gt;"",L3&lt;&gt;"Yes",N3&lt;&gt;"Closed won",N3&lt;&gt;"Closed lost",N3&lt;&gt;"No response",N3&lt;&gt;"Skipped",TODAY()-J3&gt;=3),"Follow up","")</f>
        <v/>
      </c>
      <c r="R3" s="22" t="n"/>
    </row>
    <row r="4">
      <c r="A4" s="6" t="n">
        <v>3</v>
      </c>
      <c r="B4" s="22" t="n"/>
      <c r="C4" s="22" t="n"/>
      <c r="D4" s="22" t="n"/>
      <c r="E4" s="22" t="n"/>
      <c r="F4" s="22" t="n"/>
      <c r="G4" s="22" t="n"/>
      <c r="H4" s="22" t="n"/>
      <c r="I4" s="22" t="n"/>
      <c r="J4" s="23" t="n"/>
      <c r="K4" s="22" t="n"/>
      <c r="L4" s="22" t="n"/>
      <c r="M4" s="22" t="n"/>
      <c r="N4" s="22" t="n"/>
      <c r="O4" s="24" t="n"/>
      <c r="P4" s="24" t="n"/>
      <c r="Q4" s="25">
        <f>IF(AND(J4&lt;&gt;"",L4&lt;&gt;"Yes",N4&lt;&gt;"Closed won",N4&lt;&gt;"Closed lost",N4&lt;&gt;"No response",N4&lt;&gt;"Skipped",TODAY()-J4&gt;=3),"Follow up","")</f>
        <v/>
      </c>
      <c r="R4" s="22" t="n"/>
    </row>
    <row r="5">
      <c r="A5" s="6" t="n">
        <v>4</v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3" t="n"/>
      <c r="K5" s="22" t="n"/>
      <c r="L5" s="22" t="n"/>
      <c r="M5" s="22" t="n"/>
      <c r="N5" s="22" t="n"/>
      <c r="O5" s="24" t="n"/>
      <c r="P5" s="24" t="n"/>
      <c r="Q5" s="25">
        <f>IF(AND(J5&lt;&gt;"",L5&lt;&gt;"Yes",N5&lt;&gt;"Closed won",N5&lt;&gt;"Closed lost",N5&lt;&gt;"No response",N5&lt;&gt;"Skipped",TODAY()-J5&gt;=3),"Follow up","")</f>
        <v/>
      </c>
      <c r="R5" s="22" t="n"/>
    </row>
    <row r="6">
      <c r="A6" s="6" t="n">
        <v>5</v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3" t="n"/>
      <c r="K6" s="22" t="n"/>
      <c r="L6" s="22" t="n"/>
      <c r="M6" s="22" t="n"/>
      <c r="N6" s="22" t="n"/>
      <c r="O6" s="24" t="n"/>
      <c r="P6" s="24" t="n"/>
      <c r="Q6" s="25">
        <f>IF(AND(J6&lt;&gt;"",L6&lt;&gt;"Yes",N6&lt;&gt;"Closed won",N6&lt;&gt;"Closed lost",N6&lt;&gt;"No response",N6&lt;&gt;"Skipped",TODAY()-J6&gt;=3),"Follow up","")</f>
        <v/>
      </c>
      <c r="R6" s="22" t="n"/>
    </row>
    <row r="7">
      <c r="A7" s="6" t="n">
        <v>6</v>
      </c>
      <c r="B7" s="25" t="n"/>
      <c r="C7" s="25" t="n"/>
      <c r="D7" s="25" t="n"/>
      <c r="E7" s="25" t="n"/>
      <c r="F7" s="25" t="n"/>
      <c r="G7" s="25" t="n"/>
      <c r="H7" s="25" t="n"/>
      <c r="I7" s="25" t="n"/>
      <c r="J7" s="26" t="n"/>
      <c r="K7" s="25" t="n"/>
      <c r="L7" s="25" t="n"/>
      <c r="M7" s="25" t="n"/>
      <c r="N7" s="25" t="n"/>
      <c r="O7" s="27" t="n"/>
      <c r="P7" s="27" t="n"/>
      <c r="Q7" s="25">
        <f>IF(AND(J7&lt;&gt;"",L7&lt;&gt;"Yes",N7&lt;&gt;"Closed won",N7&lt;&gt;"Closed lost",N7&lt;&gt;"No response",N7&lt;&gt;"Skipped",TODAY()-J7&gt;=3),"Follow up","")</f>
        <v/>
      </c>
      <c r="R7" s="25" t="n"/>
    </row>
    <row r="8">
      <c r="A8" s="6" t="n">
        <v>7</v>
      </c>
      <c r="B8" s="25" t="n"/>
      <c r="C8" s="25" t="n"/>
      <c r="D8" s="25" t="n"/>
      <c r="E8" s="25" t="n"/>
      <c r="F8" s="25" t="n"/>
      <c r="G8" s="25" t="n"/>
      <c r="H8" s="25" t="n"/>
      <c r="I8" s="25" t="n"/>
      <c r="J8" s="26" t="n"/>
      <c r="K8" s="25" t="n"/>
      <c r="L8" s="25" t="n"/>
      <c r="M8" s="25" t="n"/>
      <c r="N8" s="25" t="n"/>
      <c r="O8" s="27" t="n"/>
      <c r="P8" s="27" t="n"/>
      <c r="Q8" s="25">
        <f>IF(AND(J8&lt;&gt;"",L8&lt;&gt;"Yes",N8&lt;&gt;"Closed won",N8&lt;&gt;"Closed lost",N8&lt;&gt;"No response",N8&lt;&gt;"Skipped",TODAY()-J8&gt;=3),"Follow up","")</f>
        <v/>
      </c>
      <c r="R8" s="25" t="n"/>
    </row>
    <row r="9">
      <c r="A9" s="6" t="n">
        <v>8</v>
      </c>
      <c r="B9" s="25" t="n"/>
      <c r="C9" s="25" t="n"/>
      <c r="D9" s="25" t="n"/>
      <c r="E9" s="25" t="n"/>
      <c r="F9" s="25" t="n"/>
      <c r="G9" s="25" t="n"/>
      <c r="H9" s="25" t="n"/>
      <c r="I9" s="25" t="n"/>
      <c r="J9" s="26" t="n"/>
      <c r="K9" s="25" t="n"/>
      <c r="L9" s="25" t="n"/>
      <c r="M9" s="25" t="n"/>
      <c r="N9" s="25" t="n"/>
      <c r="O9" s="27" t="n"/>
      <c r="P9" s="27" t="n"/>
      <c r="Q9" s="25">
        <f>IF(AND(J9&lt;&gt;"",L9&lt;&gt;"Yes",N9&lt;&gt;"Closed won",N9&lt;&gt;"Closed lost",N9&lt;&gt;"No response",N9&lt;&gt;"Skipped",TODAY()-J9&gt;=3),"Follow up","")</f>
        <v/>
      </c>
      <c r="R9" s="25" t="n"/>
    </row>
    <row r="10">
      <c r="A10" s="6" t="n">
        <v>9</v>
      </c>
      <c r="B10" s="25" t="n"/>
      <c r="C10" s="25" t="n"/>
      <c r="D10" s="25" t="n"/>
      <c r="E10" s="25" t="n"/>
      <c r="F10" s="25" t="n"/>
      <c r="G10" s="25" t="n"/>
      <c r="H10" s="25" t="n"/>
      <c r="I10" s="25" t="n"/>
      <c r="J10" s="26" t="n"/>
      <c r="K10" s="25" t="n"/>
      <c r="L10" s="25" t="n"/>
      <c r="M10" s="25" t="n"/>
      <c r="N10" s="25" t="n"/>
      <c r="O10" s="27" t="n"/>
      <c r="P10" s="27" t="n"/>
      <c r="Q10" s="25">
        <f>IF(AND(J10&lt;&gt;"",L10&lt;&gt;"Yes",N10&lt;&gt;"Closed won",N10&lt;&gt;"Closed lost",N10&lt;&gt;"No response",N10&lt;&gt;"Skipped",TODAY()-J10&gt;=3),"Follow up","")</f>
        <v/>
      </c>
      <c r="R10" s="25" t="n"/>
    </row>
    <row r="11">
      <c r="A11" s="6" t="n">
        <v>10</v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6" t="n"/>
      <c r="K11" s="25" t="n"/>
      <c r="L11" s="25" t="n"/>
      <c r="M11" s="25" t="n"/>
      <c r="N11" s="25" t="n"/>
      <c r="O11" s="27" t="n"/>
      <c r="P11" s="27" t="n"/>
      <c r="Q11" s="25">
        <f>IF(AND(J11&lt;&gt;"",L11&lt;&gt;"Yes",N11&lt;&gt;"Closed won",N11&lt;&gt;"Closed lost",N11&lt;&gt;"No response",N11&lt;&gt;"Skipped",TODAY()-J11&gt;=3),"Follow up","")</f>
        <v/>
      </c>
      <c r="R11" s="25" t="n"/>
    </row>
    <row r="12">
      <c r="A12" s="6" t="n">
        <v>11</v>
      </c>
      <c r="B12" s="25" t="n"/>
      <c r="C12" s="25" t="n"/>
      <c r="D12" s="25" t="n"/>
      <c r="E12" s="25" t="n"/>
      <c r="F12" s="25" t="n"/>
      <c r="G12" s="25" t="n"/>
      <c r="H12" s="25" t="n"/>
      <c r="I12" s="25" t="n"/>
      <c r="J12" s="26" t="n"/>
      <c r="K12" s="25" t="n"/>
      <c r="L12" s="25" t="n"/>
      <c r="M12" s="25" t="n"/>
      <c r="N12" s="25" t="n"/>
      <c r="O12" s="27" t="n"/>
      <c r="P12" s="27" t="n"/>
      <c r="Q12" s="25">
        <f>IF(AND(J12&lt;&gt;"",L12&lt;&gt;"Yes",N12&lt;&gt;"Closed won",N12&lt;&gt;"Closed lost",N12&lt;&gt;"No response",N12&lt;&gt;"Skipped",TODAY()-J12&gt;=3),"Follow up","")</f>
        <v/>
      </c>
      <c r="R12" s="25" t="n"/>
    </row>
    <row r="13">
      <c r="A13" s="6" t="n">
        <v>12</v>
      </c>
      <c r="B13" s="25" t="n"/>
      <c r="C13" s="25" t="n"/>
      <c r="D13" s="25" t="n"/>
      <c r="E13" s="25" t="n"/>
      <c r="F13" s="25" t="n"/>
      <c r="G13" s="25" t="n"/>
      <c r="H13" s="25" t="n"/>
      <c r="I13" s="25" t="n"/>
      <c r="J13" s="26" t="n"/>
      <c r="K13" s="25" t="n"/>
      <c r="L13" s="25" t="n"/>
      <c r="M13" s="25" t="n"/>
      <c r="N13" s="25" t="n"/>
      <c r="O13" s="27" t="n"/>
      <c r="P13" s="27" t="n"/>
      <c r="Q13" s="25">
        <f>IF(AND(J13&lt;&gt;"",L13&lt;&gt;"Yes",N13&lt;&gt;"Closed won",N13&lt;&gt;"Closed lost",N13&lt;&gt;"No response",N13&lt;&gt;"Skipped",TODAY()-J13&gt;=3),"Follow up","")</f>
        <v/>
      </c>
      <c r="R13" s="25" t="n"/>
    </row>
    <row r="14">
      <c r="A14" s="6" t="n">
        <v>13</v>
      </c>
      <c r="B14" s="25" t="n"/>
      <c r="C14" s="25" t="n"/>
      <c r="D14" s="25" t="n"/>
      <c r="E14" s="25" t="n"/>
      <c r="F14" s="25" t="n"/>
      <c r="G14" s="25" t="n"/>
      <c r="H14" s="25" t="n"/>
      <c r="I14" s="25" t="n"/>
      <c r="J14" s="26" t="n"/>
      <c r="K14" s="25" t="n"/>
      <c r="L14" s="25" t="n"/>
      <c r="M14" s="25" t="n"/>
      <c r="N14" s="25" t="n"/>
      <c r="O14" s="27" t="n"/>
      <c r="P14" s="27" t="n"/>
      <c r="Q14" s="25">
        <f>IF(AND(J14&lt;&gt;"",L14&lt;&gt;"Yes",N14&lt;&gt;"Closed won",N14&lt;&gt;"Closed lost",N14&lt;&gt;"No response",N14&lt;&gt;"Skipped",TODAY()-J14&gt;=3),"Follow up","")</f>
        <v/>
      </c>
      <c r="R14" s="25" t="n"/>
    </row>
    <row r="15">
      <c r="A15" s="6" t="n">
        <v>14</v>
      </c>
      <c r="B15" s="25" t="n"/>
      <c r="C15" s="25" t="n"/>
      <c r="D15" s="25" t="n"/>
      <c r="E15" s="25" t="n"/>
      <c r="F15" s="25" t="n"/>
      <c r="G15" s="25" t="n"/>
      <c r="H15" s="25" t="n"/>
      <c r="I15" s="25" t="n"/>
      <c r="J15" s="26" t="n"/>
      <c r="K15" s="25" t="n"/>
      <c r="L15" s="25" t="n"/>
      <c r="M15" s="25" t="n"/>
      <c r="N15" s="25" t="n"/>
      <c r="O15" s="27" t="n"/>
      <c r="P15" s="27" t="n"/>
      <c r="Q15" s="25">
        <f>IF(AND(J15&lt;&gt;"",L15&lt;&gt;"Yes",N15&lt;&gt;"Closed won",N15&lt;&gt;"Closed lost",N15&lt;&gt;"No response",N15&lt;&gt;"Skipped",TODAY()-J15&gt;=3),"Follow up","")</f>
        <v/>
      </c>
      <c r="R15" s="25" t="n"/>
    </row>
    <row r="16">
      <c r="A16" s="6" t="n">
        <v>15</v>
      </c>
      <c r="B16" s="25" t="n"/>
      <c r="C16" s="25" t="n"/>
      <c r="D16" s="25" t="n"/>
      <c r="E16" s="25" t="n"/>
      <c r="F16" s="25" t="n"/>
      <c r="G16" s="25" t="n"/>
      <c r="H16" s="25" t="n"/>
      <c r="I16" s="25" t="n"/>
      <c r="J16" s="26" t="n"/>
      <c r="K16" s="25" t="n"/>
      <c r="L16" s="25" t="n"/>
      <c r="M16" s="25" t="n"/>
      <c r="N16" s="25" t="n"/>
      <c r="O16" s="27" t="n"/>
      <c r="P16" s="27" t="n"/>
      <c r="Q16" s="25">
        <f>IF(AND(J16&lt;&gt;"",L16&lt;&gt;"Yes",N16&lt;&gt;"Closed won",N16&lt;&gt;"Closed lost",N16&lt;&gt;"No response",N16&lt;&gt;"Skipped",TODAY()-J16&gt;=3),"Follow up","")</f>
        <v/>
      </c>
      <c r="R16" s="25" t="n"/>
    </row>
    <row r="17">
      <c r="A17" s="6" t="n">
        <v>16</v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6" t="n"/>
      <c r="K17" s="25" t="n"/>
      <c r="L17" s="25" t="n"/>
      <c r="M17" s="25" t="n"/>
      <c r="N17" s="25" t="n"/>
      <c r="O17" s="27" t="n"/>
      <c r="P17" s="27" t="n"/>
      <c r="Q17" s="25">
        <f>IF(AND(J17&lt;&gt;"",L17&lt;&gt;"Yes",N17&lt;&gt;"Closed won",N17&lt;&gt;"Closed lost",N17&lt;&gt;"No response",N17&lt;&gt;"Skipped",TODAY()-J17&gt;=3),"Follow up","")</f>
        <v/>
      </c>
      <c r="R17" s="25" t="n"/>
    </row>
    <row r="18">
      <c r="A18" s="6" t="n">
        <v>17</v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26" t="n"/>
      <c r="K18" s="25" t="n"/>
      <c r="L18" s="25" t="n"/>
      <c r="M18" s="25" t="n"/>
      <c r="N18" s="25" t="n"/>
      <c r="O18" s="27" t="n"/>
      <c r="P18" s="27" t="n"/>
      <c r="Q18" s="25">
        <f>IF(AND(J18&lt;&gt;"",L18&lt;&gt;"Yes",N18&lt;&gt;"Closed won",N18&lt;&gt;"Closed lost",N18&lt;&gt;"No response",N18&lt;&gt;"Skipped",TODAY()-J18&gt;=3),"Follow up","")</f>
        <v/>
      </c>
      <c r="R18" s="25" t="n"/>
    </row>
    <row r="19">
      <c r="A19" s="6" t="n">
        <v>18</v>
      </c>
      <c r="B19" s="25" t="n"/>
      <c r="C19" s="25" t="n"/>
      <c r="D19" s="25" t="n"/>
      <c r="E19" s="25" t="n"/>
      <c r="F19" s="25" t="n"/>
      <c r="G19" s="25" t="n"/>
      <c r="H19" s="25" t="n"/>
      <c r="I19" s="25" t="n"/>
      <c r="J19" s="26" t="n"/>
      <c r="K19" s="25" t="n"/>
      <c r="L19" s="25" t="n"/>
      <c r="M19" s="25" t="n"/>
      <c r="N19" s="25" t="n"/>
      <c r="O19" s="27" t="n"/>
      <c r="P19" s="27" t="n"/>
      <c r="Q19" s="25">
        <f>IF(AND(J19&lt;&gt;"",L19&lt;&gt;"Yes",N19&lt;&gt;"Closed won",N19&lt;&gt;"Closed lost",N19&lt;&gt;"No response",N19&lt;&gt;"Skipped",TODAY()-J19&gt;=3),"Follow up","")</f>
        <v/>
      </c>
      <c r="R19" s="25" t="n"/>
    </row>
    <row r="20">
      <c r="A20" s="6" t="n">
        <v>19</v>
      </c>
      <c r="B20" s="25" t="n"/>
      <c r="C20" s="25" t="n"/>
      <c r="D20" s="25" t="n"/>
      <c r="E20" s="25" t="n"/>
      <c r="F20" s="25" t="n"/>
      <c r="G20" s="25" t="n"/>
      <c r="H20" s="25" t="n"/>
      <c r="I20" s="25" t="n"/>
      <c r="J20" s="26" t="n"/>
      <c r="K20" s="25" t="n"/>
      <c r="L20" s="25" t="n"/>
      <c r="M20" s="25" t="n"/>
      <c r="N20" s="25" t="n"/>
      <c r="O20" s="27" t="n"/>
      <c r="P20" s="27" t="n"/>
      <c r="Q20" s="25">
        <f>IF(AND(J20&lt;&gt;"",L20&lt;&gt;"Yes",N20&lt;&gt;"Closed won",N20&lt;&gt;"Closed lost",N20&lt;&gt;"No response",N20&lt;&gt;"Skipped",TODAY()-J20&gt;=3),"Follow up","")</f>
        <v/>
      </c>
      <c r="R20" s="25" t="n"/>
    </row>
    <row r="21">
      <c r="A21" s="6" t="n">
        <v>20</v>
      </c>
      <c r="B21" s="25" t="n"/>
      <c r="C21" s="25" t="n"/>
      <c r="D21" s="25" t="n"/>
      <c r="E21" s="25" t="n"/>
      <c r="F21" s="25" t="n"/>
      <c r="G21" s="25" t="n"/>
      <c r="H21" s="25" t="n"/>
      <c r="I21" s="25" t="n"/>
      <c r="J21" s="26" t="n"/>
      <c r="K21" s="25" t="n"/>
      <c r="L21" s="25" t="n"/>
      <c r="M21" s="25" t="n"/>
      <c r="N21" s="25" t="n"/>
      <c r="O21" s="27" t="n"/>
      <c r="P21" s="27" t="n"/>
      <c r="Q21" s="25">
        <f>IF(AND(J21&lt;&gt;"",L21&lt;&gt;"Yes",N21&lt;&gt;"Closed won",N21&lt;&gt;"Closed lost",N21&lt;&gt;"No response",N21&lt;&gt;"Skipped",TODAY()-J21&gt;=3),"Follow up","")</f>
        <v/>
      </c>
      <c r="R21" s="25" t="n"/>
    </row>
    <row r="22">
      <c r="A22" s="6" t="n">
        <v>21</v>
      </c>
      <c r="B22" s="25" t="n"/>
      <c r="C22" s="25" t="n"/>
      <c r="D22" s="25" t="n"/>
      <c r="E22" s="25" t="n"/>
      <c r="F22" s="25" t="n"/>
      <c r="G22" s="25" t="n"/>
      <c r="H22" s="25" t="n"/>
      <c r="I22" s="25" t="n"/>
      <c r="J22" s="26" t="n"/>
      <c r="K22" s="25" t="n"/>
      <c r="L22" s="25" t="n"/>
      <c r="M22" s="25" t="n"/>
      <c r="N22" s="25" t="n"/>
      <c r="O22" s="27" t="n"/>
      <c r="P22" s="27" t="n"/>
      <c r="Q22" s="25">
        <f>IF(AND(J22&lt;&gt;"",L22&lt;&gt;"Yes",N22&lt;&gt;"Closed won",N22&lt;&gt;"Closed lost",N22&lt;&gt;"No response",N22&lt;&gt;"Skipped",TODAY()-J22&gt;=3),"Follow up","")</f>
        <v/>
      </c>
      <c r="R22" s="25" t="n"/>
    </row>
    <row r="23">
      <c r="A23" s="6" t="n">
        <v>22</v>
      </c>
      <c r="B23" s="25" t="n"/>
      <c r="C23" s="25" t="n"/>
      <c r="D23" s="25" t="n"/>
      <c r="E23" s="25" t="n"/>
      <c r="F23" s="25" t="n"/>
      <c r="G23" s="25" t="n"/>
      <c r="H23" s="25" t="n"/>
      <c r="I23" s="25" t="n"/>
      <c r="J23" s="26" t="n"/>
      <c r="K23" s="25" t="n"/>
      <c r="L23" s="25" t="n"/>
      <c r="M23" s="25" t="n"/>
      <c r="N23" s="25" t="n"/>
      <c r="O23" s="27" t="n"/>
      <c r="P23" s="27" t="n"/>
      <c r="Q23" s="25">
        <f>IF(AND(J23&lt;&gt;"",L23&lt;&gt;"Yes",N23&lt;&gt;"Closed won",N23&lt;&gt;"Closed lost",N23&lt;&gt;"No response",N23&lt;&gt;"Skipped",TODAY()-J23&gt;=3),"Follow up","")</f>
        <v/>
      </c>
      <c r="R23" s="25" t="n"/>
    </row>
    <row r="24">
      <c r="A24" s="6" t="n">
        <v>23</v>
      </c>
      <c r="B24" s="25" t="n"/>
      <c r="C24" s="25" t="n"/>
      <c r="D24" s="25" t="n"/>
      <c r="E24" s="25" t="n"/>
      <c r="F24" s="25" t="n"/>
      <c r="G24" s="25" t="n"/>
      <c r="H24" s="25" t="n"/>
      <c r="I24" s="25" t="n"/>
      <c r="J24" s="26" t="n"/>
      <c r="K24" s="25" t="n"/>
      <c r="L24" s="25" t="n"/>
      <c r="M24" s="25" t="n"/>
      <c r="N24" s="25" t="n"/>
      <c r="O24" s="27" t="n"/>
      <c r="P24" s="27" t="n"/>
      <c r="Q24" s="25">
        <f>IF(AND(J24&lt;&gt;"",L24&lt;&gt;"Yes",N24&lt;&gt;"Closed won",N24&lt;&gt;"Closed lost",N24&lt;&gt;"No response",N24&lt;&gt;"Skipped",TODAY()-J24&gt;=3),"Follow up","")</f>
        <v/>
      </c>
      <c r="R24" s="25" t="n"/>
    </row>
    <row r="25">
      <c r="A25" s="6" t="n">
        <v>24</v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6" t="n"/>
      <c r="K25" s="25" t="n"/>
      <c r="L25" s="25" t="n"/>
      <c r="M25" s="25" t="n"/>
      <c r="N25" s="25" t="n"/>
      <c r="O25" s="27" t="n"/>
      <c r="P25" s="27" t="n"/>
      <c r="Q25" s="25">
        <f>IF(AND(J25&lt;&gt;"",L25&lt;&gt;"Yes",N25&lt;&gt;"Closed won",N25&lt;&gt;"Closed lost",N25&lt;&gt;"No response",N25&lt;&gt;"Skipped",TODAY()-J25&gt;=3),"Follow up","")</f>
        <v/>
      </c>
      <c r="R25" s="25" t="n"/>
    </row>
    <row r="26">
      <c r="A26" s="6" t="n">
        <v>25</v>
      </c>
      <c r="B26" s="25" t="n"/>
      <c r="C26" s="25" t="n"/>
      <c r="D26" s="25" t="n"/>
      <c r="E26" s="25" t="n"/>
      <c r="F26" s="25" t="n"/>
      <c r="G26" s="25" t="n"/>
      <c r="H26" s="25" t="n"/>
      <c r="I26" s="25" t="n"/>
      <c r="J26" s="26" t="n"/>
      <c r="K26" s="25" t="n"/>
      <c r="L26" s="25" t="n"/>
      <c r="M26" s="25" t="n"/>
      <c r="N26" s="25" t="n"/>
      <c r="O26" s="27" t="n"/>
      <c r="P26" s="27" t="n"/>
      <c r="Q26" s="25">
        <f>IF(AND(J26&lt;&gt;"",L26&lt;&gt;"Yes",N26&lt;&gt;"Closed won",N26&lt;&gt;"Closed lost",N26&lt;&gt;"No response",N26&lt;&gt;"Skipped",TODAY()-J26&gt;=3),"Follow up","")</f>
        <v/>
      </c>
      <c r="R26" s="25" t="n"/>
    </row>
    <row r="27">
      <c r="A27" s="6" t="n">
        <v>26</v>
      </c>
      <c r="B27" s="25" t="n"/>
      <c r="C27" s="25" t="n"/>
      <c r="D27" s="25" t="n"/>
      <c r="E27" s="25" t="n"/>
      <c r="F27" s="25" t="n"/>
      <c r="G27" s="25" t="n"/>
      <c r="H27" s="25" t="n"/>
      <c r="I27" s="25" t="n"/>
      <c r="J27" s="26" t="n"/>
      <c r="K27" s="25" t="n"/>
      <c r="L27" s="25" t="n"/>
      <c r="M27" s="25" t="n"/>
      <c r="N27" s="25" t="n"/>
      <c r="O27" s="27" t="n"/>
      <c r="P27" s="27" t="n"/>
      <c r="Q27" s="25">
        <f>IF(AND(J27&lt;&gt;"",L27&lt;&gt;"Yes",N27&lt;&gt;"Closed won",N27&lt;&gt;"Closed lost",N27&lt;&gt;"No response",N27&lt;&gt;"Skipped",TODAY()-J27&gt;=3),"Follow up","")</f>
        <v/>
      </c>
      <c r="R27" s="25" t="n"/>
    </row>
    <row r="28">
      <c r="A28" s="6" t="n">
        <v>27</v>
      </c>
      <c r="B28" s="25" t="n"/>
      <c r="C28" s="25" t="n"/>
      <c r="D28" s="25" t="n"/>
      <c r="E28" s="25" t="n"/>
      <c r="F28" s="25" t="n"/>
      <c r="G28" s="25" t="n"/>
      <c r="H28" s="25" t="n"/>
      <c r="I28" s="25" t="n"/>
      <c r="J28" s="26" t="n"/>
      <c r="K28" s="25" t="n"/>
      <c r="L28" s="25" t="n"/>
      <c r="M28" s="25" t="n"/>
      <c r="N28" s="25" t="n"/>
      <c r="O28" s="27" t="n"/>
      <c r="P28" s="27" t="n"/>
      <c r="Q28" s="25">
        <f>IF(AND(J28&lt;&gt;"",L28&lt;&gt;"Yes",N28&lt;&gt;"Closed won",N28&lt;&gt;"Closed lost",N28&lt;&gt;"No response",N28&lt;&gt;"Skipped",TODAY()-J28&gt;=3),"Follow up","")</f>
        <v/>
      </c>
      <c r="R28" s="25" t="n"/>
    </row>
    <row r="29">
      <c r="A29" s="6" t="n">
        <v>28</v>
      </c>
      <c r="B29" s="25" t="n"/>
      <c r="C29" s="25" t="n"/>
      <c r="D29" s="25" t="n"/>
      <c r="E29" s="25" t="n"/>
      <c r="F29" s="25" t="n"/>
      <c r="G29" s="25" t="n"/>
      <c r="H29" s="25" t="n"/>
      <c r="I29" s="25" t="n"/>
      <c r="J29" s="26" t="n"/>
      <c r="K29" s="25" t="n"/>
      <c r="L29" s="25" t="n"/>
      <c r="M29" s="25" t="n"/>
      <c r="N29" s="25" t="n"/>
      <c r="O29" s="27" t="n"/>
      <c r="P29" s="27" t="n"/>
      <c r="Q29" s="25">
        <f>IF(AND(J29&lt;&gt;"",L29&lt;&gt;"Yes",N29&lt;&gt;"Closed won",N29&lt;&gt;"Closed lost",N29&lt;&gt;"No response",N29&lt;&gt;"Skipped",TODAY()-J29&gt;=3),"Follow up","")</f>
        <v/>
      </c>
      <c r="R29" s="25" t="n"/>
    </row>
    <row r="30">
      <c r="A30" s="6" t="n">
        <v>29</v>
      </c>
      <c r="B30" s="25" t="n"/>
      <c r="C30" s="25" t="n"/>
      <c r="D30" s="25" t="n"/>
      <c r="E30" s="25" t="n"/>
      <c r="F30" s="25" t="n"/>
      <c r="G30" s="25" t="n"/>
      <c r="H30" s="25" t="n"/>
      <c r="I30" s="25" t="n"/>
      <c r="J30" s="26" t="n"/>
      <c r="K30" s="25" t="n"/>
      <c r="L30" s="25" t="n"/>
      <c r="M30" s="25" t="n"/>
      <c r="N30" s="25" t="n"/>
      <c r="O30" s="27" t="n"/>
      <c r="P30" s="27" t="n"/>
      <c r="Q30" s="25">
        <f>IF(AND(J30&lt;&gt;"",L30&lt;&gt;"Yes",N30&lt;&gt;"Closed won",N30&lt;&gt;"Closed lost",N30&lt;&gt;"No response",N30&lt;&gt;"Skipped",TODAY()-J30&gt;=3),"Follow up","")</f>
        <v/>
      </c>
      <c r="R30" s="25" t="n"/>
    </row>
    <row r="31">
      <c r="A31" s="6" t="n">
        <v>30</v>
      </c>
      <c r="B31" s="25" t="n"/>
      <c r="C31" s="25" t="n"/>
      <c r="D31" s="25" t="n"/>
      <c r="E31" s="25" t="n"/>
      <c r="F31" s="25" t="n"/>
      <c r="G31" s="25" t="n"/>
      <c r="H31" s="25" t="n"/>
      <c r="I31" s="25" t="n"/>
      <c r="J31" s="26" t="n"/>
      <c r="K31" s="25" t="n"/>
      <c r="L31" s="25" t="n"/>
      <c r="M31" s="25" t="n"/>
      <c r="N31" s="25" t="n"/>
      <c r="O31" s="27" t="n"/>
      <c r="P31" s="27" t="n"/>
      <c r="Q31" s="25">
        <f>IF(AND(J31&lt;&gt;"",L31&lt;&gt;"Yes",N31&lt;&gt;"Closed won",N31&lt;&gt;"Closed lost",N31&lt;&gt;"No response",N31&lt;&gt;"Skipped",TODAY()-J31&gt;=3),"Follow up","")</f>
        <v/>
      </c>
      <c r="R31" s="25" t="n"/>
    </row>
    <row r="32">
      <c r="A32" s="6" t="n">
        <v>31</v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6" t="n"/>
      <c r="K32" s="25" t="n"/>
      <c r="L32" s="25" t="n"/>
      <c r="M32" s="25" t="n"/>
      <c r="N32" s="25" t="n"/>
      <c r="O32" s="27" t="n"/>
      <c r="P32" s="27" t="n"/>
      <c r="Q32" s="25">
        <f>IF(AND(J32&lt;&gt;"",L32&lt;&gt;"Yes",N32&lt;&gt;"Closed won",N32&lt;&gt;"Closed lost",N32&lt;&gt;"No response",N32&lt;&gt;"Skipped",TODAY()-J32&gt;=3),"Follow up","")</f>
        <v/>
      </c>
      <c r="R32" s="25" t="n"/>
    </row>
    <row r="33">
      <c r="A33" s="6" t="n">
        <v>32</v>
      </c>
      <c r="B33" s="25" t="n"/>
      <c r="C33" s="25" t="n"/>
      <c r="D33" s="25" t="n"/>
      <c r="E33" s="25" t="n"/>
      <c r="F33" s="25" t="n"/>
      <c r="G33" s="25" t="n"/>
      <c r="H33" s="25" t="n"/>
      <c r="I33" s="25" t="n"/>
      <c r="J33" s="26" t="n"/>
      <c r="K33" s="25" t="n"/>
      <c r="L33" s="25" t="n"/>
      <c r="M33" s="25" t="n"/>
      <c r="N33" s="25" t="n"/>
      <c r="O33" s="27" t="n"/>
      <c r="P33" s="27" t="n"/>
      <c r="Q33" s="25">
        <f>IF(AND(J33&lt;&gt;"",L33&lt;&gt;"Yes",N33&lt;&gt;"Closed won",N33&lt;&gt;"Closed lost",N33&lt;&gt;"No response",N33&lt;&gt;"Skipped",TODAY()-J33&gt;=3),"Follow up","")</f>
        <v/>
      </c>
      <c r="R33" s="25" t="n"/>
    </row>
    <row r="34">
      <c r="A34" s="6" t="n">
        <v>33</v>
      </c>
      <c r="B34" s="25" t="n"/>
      <c r="C34" s="25" t="n"/>
      <c r="D34" s="25" t="n"/>
      <c r="E34" s="25" t="n"/>
      <c r="F34" s="25" t="n"/>
      <c r="G34" s="25" t="n"/>
      <c r="H34" s="25" t="n"/>
      <c r="I34" s="25" t="n"/>
      <c r="J34" s="26" t="n"/>
      <c r="K34" s="25" t="n"/>
      <c r="L34" s="25" t="n"/>
      <c r="M34" s="25" t="n"/>
      <c r="N34" s="25" t="n"/>
      <c r="O34" s="27" t="n"/>
      <c r="P34" s="27" t="n"/>
      <c r="Q34" s="25">
        <f>IF(AND(J34&lt;&gt;"",L34&lt;&gt;"Yes",N34&lt;&gt;"Closed won",N34&lt;&gt;"Closed lost",N34&lt;&gt;"No response",N34&lt;&gt;"Skipped",TODAY()-J34&gt;=3),"Follow up","")</f>
        <v/>
      </c>
      <c r="R34" s="25" t="n"/>
    </row>
    <row r="35">
      <c r="A35" s="6" t="n">
        <v>34</v>
      </c>
      <c r="B35" s="25" t="n"/>
      <c r="C35" s="25" t="n"/>
      <c r="D35" s="25" t="n"/>
      <c r="E35" s="25" t="n"/>
      <c r="F35" s="25" t="n"/>
      <c r="G35" s="25" t="n"/>
      <c r="H35" s="25" t="n"/>
      <c r="I35" s="25" t="n"/>
      <c r="J35" s="26" t="n"/>
      <c r="K35" s="25" t="n"/>
      <c r="L35" s="25" t="n"/>
      <c r="M35" s="25" t="n"/>
      <c r="N35" s="25" t="n"/>
      <c r="O35" s="27" t="n"/>
      <c r="P35" s="27" t="n"/>
      <c r="Q35" s="25">
        <f>IF(AND(J35&lt;&gt;"",L35&lt;&gt;"Yes",N35&lt;&gt;"Closed won",N35&lt;&gt;"Closed lost",N35&lt;&gt;"No response",N35&lt;&gt;"Skipped",TODAY()-J35&gt;=3),"Follow up","")</f>
        <v/>
      </c>
      <c r="R35" s="25" t="n"/>
    </row>
    <row r="36">
      <c r="A36" s="6" t="n">
        <v>35</v>
      </c>
      <c r="B36" s="25" t="n"/>
      <c r="C36" s="25" t="n"/>
      <c r="D36" s="25" t="n"/>
      <c r="E36" s="25" t="n"/>
      <c r="F36" s="25" t="n"/>
      <c r="G36" s="25" t="n"/>
      <c r="H36" s="25" t="n"/>
      <c r="I36" s="25" t="n"/>
      <c r="J36" s="26" t="n"/>
      <c r="K36" s="25" t="n"/>
      <c r="L36" s="25" t="n"/>
      <c r="M36" s="25" t="n"/>
      <c r="N36" s="25" t="n"/>
      <c r="O36" s="27" t="n"/>
      <c r="P36" s="27" t="n"/>
      <c r="Q36" s="25">
        <f>IF(AND(J36&lt;&gt;"",L36&lt;&gt;"Yes",N36&lt;&gt;"Closed won",N36&lt;&gt;"Closed lost",N36&lt;&gt;"No response",N36&lt;&gt;"Skipped",TODAY()-J36&gt;=3),"Follow up","")</f>
        <v/>
      </c>
      <c r="R36" s="25" t="n"/>
    </row>
    <row r="37">
      <c r="A37" s="6" t="n">
        <v>36</v>
      </c>
      <c r="B37" s="25" t="n"/>
      <c r="C37" s="25" t="n"/>
      <c r="D37" s="25" t="n"/>
      <c r="E37" s="25" t="n"/>
      <c r="F37" s="25" t="n"/>
      <c r="G37" s="25" t="n"/>
      <c r="H37" s="25" t="n"/>
      <c r="I37" s="25" t="n"/>
      <c r="J37" s="26" t="n"/>
      <c r="K37" s="25" t="n"/>
      <c r="L37" s="25" t="n"/>
      <c r="M37" s="25" t="n"/>
      <c r="N37" s="25" t="n"/>
      <c r="O37" s="27" t="n"/>
      <c r="P37" s="27" t="n"/>
      <c r="Q37" s="25">
        <f>IF(AND(J37&lt;&gt;"",L37&lt;&gt;"Yes",N37&lt;&gt;"Closed won",N37&lt;&gt;"Closed lost",N37&lt;&gt;"No response",N37&lt;&gt;"Skipped",TODAY()-J37&gt;=3),"Follow up","")</f>
        <v/>
      </c>
      <c r="R37" s="25" t="n"/>
    </row>
    <row r="38">
      <c r="A38" s="6" t="n">
        <v>37</v>
      </c>
      <c r="B38" s="25" t="n"/>
      <c r="C38" s="25" t="n"/>
      <c r="D38" s="25" t="n"/>
      <c r="E38" s="25" t="n"/>
      <c r="F38" s="25" t="n"/>
      <c r="G38" s="25" t="n"/>
      <c r="H38" s="25" t="n"/>
      <c r="I38" s="25" t="n"/>
      <c r="J38" s="26" t="n"/>
      <c r="K38" s="25" t="n"/>
      <c r="L38" s="25" t="n"/>
      <c r="M38" s="25" t="n"/>
      <c r="N38" s="25" t="n"/>
      <c r="O38" s="27" t="n"/>
      <c r="P38" s="27" t="n"/>
      <c r="Q38" s="25">
        <f>IF(AND(J38&lt;&gt;"",L38&lt;&gt;"Yes",N38&lt;&gt;"Closed won",N38&lt;&gt;"Closed lost",N38&lt;&gt;"No response",N38&lt;&gt;"Skipped",TODAY()-J38&gt;=3),"Follow up","")</f>
        <v/>
      </c>
      <c r="R38" s="25" t="n"/>
    </row>
    <row r="39">
      <c r="A39" s="6" t="n">
        <v>38</v>
      </c>
      <c r="B39" s="25" t="n"/>
      <c r="C39" s="25" t="n"/>
      <c r="D39" s="25" t="n"/>
      <c r="E39" s="25" t="n"/>
      <c r="F39" s="25" t="n"/>
      <c r="G39" s="25" t="n"/>
      <c r="H39" s="25" t="n"/>
      <c r="I39" s="25" t="n"/>
      <c r="J39" s="26" t="n"/>
      <c r="K39" s="25" t="n"/>
      <c r="L39" s="25" t="n"/>
      <c r="M39" s="25" t="n"/>
      <c r="N39" s="25" t="n"/>
      <c r="O39" s="27" t="n"/>
      <c r="P39" s="27" t="n"/>
      <c r="Q39" s="25">
        <f>IF(AND(J39&lt;&gt;"",L39&lt;&gt;"Yes",N39&lt;&gt;"Closed won",N39&lt;&gt;"Closed lost",N39&lt;&gt;"No response",N39&lt;&gt;"Skipped",TODAY()-J39&gt;=3),"Follow up","")</f>
        <v/>
      </c>
      <c r="R39" s="25" t="n"/>
    </row>
    <row r="40">
      <c r="A40" s="6" t="n">
        <v>39</v>
      </c>
      <c r="B40" s="25" t="n"/>
      <c r="C40" s="25" t="n"/>
      <c r="D40" s="25" t="n"/>
      <c r="E40" s="25" t="n"/>
      <c r="F40" s="25" t="n"/>
      <c r="G40" s="25" t="n"/>
      <c r="H40" s="25" t="n"/>
      <c r="I40" s="25" t="n"/>
      <c r="J40" s="26" t="n"/>
      <c r="K40" s="25" t="n"/>
      <c r="L40" s="25" t="n"/>
      <c r="M40" s="25" t="n"/>
      <c r="N40" s="25" t="n"/>
      <c r="O40" s="27" t="n"/>
      <c r="P40" s="27" t="n"/>
      <c r="Q40" s="25">
        <f>IF(AND(J40&lt;&gt;"",L40&lt;&gt;"Yes",N40&lt;&gt;"Closed won",N40&lt;&gt;"Closed lost",N40&lt;&gt;"No response",N40&lt;&gt;"Skipped",TODAY()-J40&gt;=3),"Follow up","")</f>
        <v/>
      </c>
      <c r="R40" s="25" t="n"/>
    </row>
    <row r="41">
      <c r="A41" s="6" t="n">
        <v>40</v>
      </c>
      <c r="B41" s="25" t="n"/>
      <c r="C41" s="25" t="n"/>
      <c r="D41" s="25" t="n"/>
      <c r="E41" s="25" t="n"/>
      <c r="F41" s="25" t="n"/>
      <c r="G41" s="25" t="n"/>
      <c r="H41" s="25" t="n"/>
      <c r="I41" s="25" t="n"/>
      <c r="J41" s="26" t="n"/>
      <c r="K41" s="25" t="n"/>
      <c r="L41" s="25" t="n"/>
      <c r="M41" s="25" t="n"/>
      <c r="N41" s="25" t="n"/>
      <c r="O41" s="27" t="n"/>
      <c r="P41" s="27" t="n"/>
      <c r="Q41" s="25">
        <f>IF(AND(J41&lt;&gt;"",L41&lt;&gt;"Yes",N41&lt;&gt;"Closed won",N41&lt;&gt;"Closed lost",N41&lt;&gt;"No response",N41&lt;&gt;"Skipped",TODAY()-J41&gt;=3),"Follow up","")</f>
        <v/>
      </c>
      <c r="R41" s="25" t="n"/>
    </row>
    <row r="42">
      <c r="A42" s="6" t="n">
        <v>41</v>
      </c>
      <c r="B42" s="25" t="n"/>
      <c r="C42" s="25" t="n"/>
      <c r="D42" s="25" t="n"/>
      <c r="E42" s="25" t="n"/>
      <c r="F42" s="25" t="n"/>
      <c r="G42" s="25" t="n"/>
      <c r="H42" s="25" t="n"/>
      <c r="I42" s="25" t="n"/>
      <c r="J42" s="26" t="n"/>
      <c r="K42" s="25" t="n"/>
      <c r="L42" s="25" t="n"/>
      <c r="M42" s="25" t="n"/>
      <c r="N42" s="25" t="n"/>
      <c r="O42" s="27" t="n"/>
      <c r="P42" s="27" t="n"/>
      <c r="Q42" s="25">
        <f>IF(AND(J42&lt;&gt;"",L42&lt;&gt;"Yes",N42&lt;&gt;"Closed won",N42&lt;&gt;"Closed lost",N42&lt;&gt;"No response",N42&lt;&gt;"Skipped",TODAY()-J42&gt;=3),"Follow up","")</f>
        <v/>
      </c>
      <c r="R42" s="25" t="n"/>
    </row>
    <row r="43">
      <c r="A43" s="6" t="n">
        <v>42</v>
      </c>
      <c r="B43" s="25" t="n"/>
      <c r="C43" s="25" t="n"/>
      <c r="D43" s="25" t="n"/>
      <c r="E43" s="25" t="n"/>
      <c r="F43" s="25" t="n"/>
      <c r="G43" s="25" t="n"/>
      <c r="H43" s="25" t="n"/>
      <c r="I43" s="25" t="n"/>
      <c r="J43" s="26" t="n"/>
      <c r="K43" s="25" t="n"/>
      <c r="L43" s="25" t="n"/>
      <c r="M43" s="25" t="n"/>
      <c r="N43" s="25" t="n"/>
      <c r="O43" s="27" t="n"/>
      <c r="P43" s="27" t="n"/>
      <c r="Q43" s="25">
        <f>IF(AND(J43&lt;&gt;"",L43&lt;&gt;"Yes",N43&lt;&gt;"Closed won",N43&lt;&gt;"Closed lost",N43&lt;&gt;"No response",N43&lt;&gt;"Skipped",TODAY()-J43&gt;=3),"Follow up","")</f>
        <v/>
      </c>
      <c r="R43" s="25" t="n"/>
    </row>
    <row r="44">
      <c r="A44" s="6" t="n">
        <v>43</v>
      </c>
      <c r="B44" s="25" t="n"/>
      <c r="C44" s="25" t="n"/>
      <c r="D44" s="25" t="n"/>
      <c r="E44" s="25" t="n"/>
      <c r="F44" s="25" t="n"/>
      <c r="G44" s="25" t="n"/>
      <c r="H44" s="25" t="n"/>
      <c r="I44" s="25" t="n"/>
      <c r="J44" s="26" t="n"/>
      <c r="K44" s="25" t="n"/>
      <c r="L44" s="25" t="n"/>
      <c r="M44" s="25" t="n"/>
      <c r="N44" s="25" t="n"/>
      <c r="O44" s="27" t="n"/>
      <c r="P44" s="27" t="n"/>
      <c r="Q44" s="25">
        <f>IF(AND(J44&lt;&gt;"",L44&lt;&gt;"Yes",N44&lt;&gt;"Closed won",N44&lt;&gt;"Closed lost",N44&lt;&gt;"No response",N44&lt;&gt;"Skipped",TODAY()-J44&gt;=3),"Follow up","")</f>
        <v/>
      </c>
      <c r="R44" s="25" t="n"/>
    </row>
    <row r="45">
      <c r="A45" s="6" t="n">
        <v>44</v>
      </c>
      <c r="B45" s="25" t="n"/>
      <c r="C45" s="25" t="n"/>
      <c r="D45" s="25" t="n"/>
      <c r="E45" s="25" t="n"/>
      <c r="F45" s="25" t="n"/>
      <c r="G45" s="25" t="n"/>
      <c r="H45" s="25" t="n"/>
      <c r="I45" s="25" t="n"/>
      <c r="J45" s="26" t="n"/>
      <c r="K45" s="25" t="n"/>
      <c r="L45" s="25" t="n"/>
      <c r="M45" s="25" t="n"/>
      <c r="N45" s="25" t="n"/>
      <c r="O45" s="27" t="n"/>
      <c r="P45" s="27" t="n"/>
      <c r="Q45" s="25">
        <f>IF(AND(J45&lt;&gt;"",L45&lt;&gt;"Yes",N45&lt;&gt;"Closed won",N45&lt;&gt;"Closed lost",N45&lt;&gt;"No response",N45&lt;&gt;"Skipped",TODAY()-J45&gt;=3),"Follow up","")</f>
        <v/>
      </c>
      <c r="R45" s="25" t="n"/>
    </row>
    <row r="46">
      <c r="A46" s="6" t="n">
        <v>45</v>
      </c>
      <c r="B46" s="25" t="n"/>
      <c r="C46" s="25" t="n"/>
      <c r="D46" s="25" t="n"/>
      <c r="E46" s="25" t="n"/>
      <c r="F46" s="25" t="n"/>
      <c r="G46" s="25" t="n"/>
      <c r="H46" s="25" t="n"/>
      <c r="I46" s="25" t="n"/>
      <c r="J46" s="26" t="n"/>
      <c r="K46" s="25" t="n"/>
      <c r="L46" s="25" t="n"/>
      <c r="M46" s="25" t="n"/>
      <c r="N46" s="25" t="n"/>
      <c r="O46" s="27" t="n"/>
      <c r="P46" s="27" t="n"/>
      <c r="Q46" s="25">
        <f>IF(AND(J46&lt;&gt;"",L46&lt;&gt;"Yes",N46&lt;&gt;"Closed won",N46&lt;&gt;"Closed lost",N46&lt;&gt;"No response",N46&lt;&gt;"Skipped",TODAY()-J46&gt;=3),"Follow up","")</f>
        <v/>
      </c>
      <c r="R46" s="25" t="n"/>
    </row>
    <row r="47">
      <c r="A47" s="6" t="n">
        <v>46</v>
      </c>
      <c r="B47" s="25" t="n"/>
      <c r="C47" s="25" t="n"/>
      <c r="D47" s="25" t="n"/>
      <c r="E47" s="25" t="n"/>
      <c r="F47" s="25" t="n"/>
      <c r="G47" s="25" t="n"/>
      <c r="H47" s="25" t="n"/>
      <c r="I47" s="25" t="n"/>
      <c r="J47" s="26" t="n"/>
      <c r="K47" s="25" t="n"/>
      <c r="L47" s="25" t="n"/>
      <c r="M47" s="25" t="n"/>
      <c r="N47" s="25" t="n"/>
      <c r="O47" s="27" t="n"/>
      <c r="P47" s="27" t="n"/>
      <c r="Q47" s="25">
        <f>IF(AND(J47&lt;&gt;"",L47&lt;&gt;"Yes",N47&lt;&gt;"Closed won",N47&lt;&gt;"Closed lost",N47&lt;&gt;"No response",N47&lt;&gt;"Skipped",TODAY()-J47&gt;=3),"Follow up","")</f>
        <v/>
      </c>
      <c r="R47" s="25" t="n"/>
    </row>
    <row r="48">
      <c r="A48" s="6" t="n">
        <v>47</v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26" t="n"/>
      <c r="K48" s="25" t="n"/>
      <c r="L48" s="25" t="n"/>
      <c r="M48" s="25" t="n"/>
      <c r="N48" s="25" t="n"/>
      <c r="O48" s="27" t="n"/>
      <c r="P48" s="27" t="n"/>
      <c r="Q48" s="25">
        <f>IF(AND(J48&lt;&gt;"",L48&lt;&gt;"Yes",N48&lt;&gt;"Closed won",N48&lt;&gt;"Closed lost",N48&lt;&gt;"No response",N48&lt;&gt;"Skipped",TODAY()-J48&gt;=3),"Follow up","")</f>
        <v/>
      </c>
      <c r="R48" s="25" t="n"/>
    </row>
    <row r="49">
      <c r="A49" s="6" t="n">
        <v>48</v>
      </c>
      <c r="B49" s="25" t="n"/>
      <c r="C49" s="25" t="n"/>
      <c r="D49" s="25" t="n"/>
      <c r="E49" s="25" t="n"/>
      <c r="F49" s="25" t="n"/>
      <c r="G49" s="25" t="n"/>
      <c r="H49" s="25" t="n"/>
      <c r="I49" s="25" t="n"/>
      <c r="J49" s="26" t="n"/>
      <c r="K49" s="25" t="n"/>
      <c r="L49" s="25" t="n"/>
      <c r="M49" s="25" t="n"/>
      <c r="N49" s="25" t="n"/>
      <c r="O49" s="27" t="n"/>
      <c r="P49" s="27" t="n"/>
      <c r="Q49" s="25">
        <f>IF(AND(J49&lt;&gt;"",L49&lt;&gt;"Yes",N49&lt;&gt;"Closed won",N49&lt;&gt;"Closed lost",N49&lt;&gt;"No response",N49&lt;&gt;"Skipped",TODAY()-J49&gt;=3),"Follow up","")</f>
        <v/>
      </c>
      <c r="R49" s="25" t="n"/>
    </row>
    <row r="50">
      <c r="A50" s="6" t="n">
        <v>49</v>
      </c>
      <c r="B50" s="25" t="n"/>
      <c r="C50" s="25" t="n"/>
      <c r="D50" s="25" t="n"/>
      <c r="E50" s="25" t="n"/>
      <c r="F50" s="25" t="n"/>
      <c r="G50" s="25" t="n"/>
      <c r="H50" s="25" t="n"/>
      <c r="I50" s="25" t="n"/>
      <c r="J50" s="26" t="n"/>
      <c r="K50" s="25" t="n"/>
      <c r="L50" s="25" t="n"/>
      <c r="M50" s="25" t="n"/>
      <c r="N50" s="25" t="n"/>
      <c r="O50" s="27" t="n"/>
      <c r="P50" s="27" t="n"/>
      <c r="Q50" s="25">
        <f>IF(AND(J50&lt;&gt;"",L50&lt;&gt;"Yes",N50&lt;&gt;"Closed won",N50&lt;&gt;"Closed lost",N50&lt;&gt;"No response",N50&lt;&gt;"Skipped",TODAY()-J50&gt;=3),"Follow up","")</f>
        <v/>
      </c>
      <c r="R50" s="25" t="n"/>
    </row>
    <row r="51">
      <c r="A51" s="6" t="n">
        <v>50</v>
      </c>
      <c r="B51" s="25" t="n"/>
      <c r="C51" s="25" t="n"/>
      <c r="D51" s="25" t="n"/>
      <c r="E51" s="25" t="n"/>
      <c r="F51" s="25" t="n"/>
      <c r="G51" s="25" t="n"/>
      <c r="H51" s="25" t="n"/>
      <c r="I51" s="25" t="n"/>
      <c r="J51" s="26" t="n"/>
      <c r="K51" s="25" t="n"/>
      <c r="L51" s="25" t="n"/>
      <c r="M51" s="25" t="n"/>
      <c r="N51" s="25" t="n"/>
      <c r="O51" s="27" t="n"/>
      <c r="P51" s="27" t="n"/>
      <c r="Q51" s="25">
        <f>IF(AND(J51&lt;&gt;"",L51&lt;&gt;"Yes",N51&lt;&gt;"Closed won",N51&lt;&gt;"Closed lost",N51&lt;&gt;"No response",N51&lt;&gt;"Skipped",TODAY()-J51&gt;=3),"Follow up","")</f>
        <v/>
      </c>
      <c r="R51" s="25" t="n"/>
    </row>
    <row r="52">
      <c r="A52" s="6" t="n">
        <v>51</v>
      </c>
      <c r="B52" s="25" t="n"/>
      <c r="C52" s="25" t="n"/>
      <c r="D52" s="25" t="n"/>
      <c r="E52" s="25" t="n"/>
      <c r="F52" s="25" t="n"/>
      <c r="G52" s="25" t="n"/>
      <c r="H52" s="25" t="n"/>
      <c r="I52" s="25" t="n"/>
      <c r="J52" s="26" t="n"/>
      <c r="K52" s="25" t="n"/>
      <c r="L52" s="25" t="n"/>
      <c r="M52" s="25" t="n"/>
      <c r="N52" s="25" t="n"/>
      <c r="O52" s="27" t="n"/>
      <c r="P52" s="27" t="n"/>
      <c r="Q52" s="25">
        <f>IF(AND(J52&lt;&gt;"",L52&lt;&gt;"Yes",N52&lt;&gt;"Closed won",N52&lt;&gt;"Closed lost",N52&lt;&gt;"No response",N52&lt;&gt;"Skipped",TODAY()-J52&gt;=3),"Follow up","")</f>
        <v/>
      </c>
      <c r="R52" s="25" t="n"/>
    </row>
    <row r="53">
      <c r="A53" s="6" t="n">
        <v>52</v>
      </c>
      <c r="B53" s="25" t="n"/>
      <c r="C53" s="25" t="n"/>
      <c r="D53" s="25" t="n"/>
      <c r="E53" s="25" t="n"/>
      <c r="F53" s="25" t="n"/>
      <c r="G53" s="25" t="n"/>
      <c r="H53" s="25" t="n"/>
      <c r="I53" s="25" t="n"/>
      <c r="J53" s="26" t="n"/>
      <c r="K53" s="25" t="n"/>
      <c r="L53" s="25" t="n"/>
      <c r="M53" s="25" t="n"/>
      <c r="N53" s="25" t="n"/>
      <c r="O53" s="27" t="n"/>
      <c r="P53" s="27" t="n"/>
      <c r="Q53" s="25">
        <f>IF(AND(J53&lt;&gt;"",L53&lt;&gt;"Yes",N53&lt;&gt;"Closed won",N53&lt;&gt;"Closed lost",N53&lt;&gt;"No response",N53&lt;&gt;"Skipped",TODAY()-J53&gt;=3),"Follow up","")</f>
        <v/>
      </c>
      <c r="R53" s="25" t="n"/>
    </row>
    <row r="54">
      <c r="A54" s="6" t="n">
        <v>53</v>
      </c>
      <c r="B54" s="25" t="n"/>
      <c r="C54" s="25" t="n"/>
      <c r="D54" s="25" t="n"/>
      <c r="E54" s="25" t="n"/>
      <c r="F54" s="25" t="n"/>
      <c r="G54" s="25" t="n"/>
      <c r="H54" s="25" t="n"/>
      <c r="I54" s="25" t="n"/>
      <c r="J54" s="26" t="n"/>
      <c r="K54" s="25" t="n"/>
      <c r="L54" s="25" t="n"/>
      <c r="M54" s="25" t="n"/>
      <c r="N54" s="25" t="n"/>
      <c r="O54" s="27" t="n"/>
      <c r="P54" s="27" t="n"/>
      <c r="Q54" s="25">
        <f>IF(AND(J54&lt;&gt;"",L54&lt;&gt;"Yes",N54&lt;&gt;"Closed won",N54&lt;&gt;"Closed lost",N54&lt;&gt;"No response",N54&lt;&gt;"Skipped",TODAY()-J54&gt;=3),"Follow up","")</f>
        <v/>
      </c>
      <c r="R54" s="25" t="n"/>
    </row>
    <row r="55">
      <c r="A55" s="6" t="n">
        <v>54</v>
      </c>
      <c r="B55" s="25" t="n"/>
      <c r="C55" s="25" t="n"/>
      <c r="D55" s="25" t="n"/>
      <c r="E55" s="25" t="n"/>
      <c r="F55" s="25" t="n"/>
      <c r="G55" s="25" t="n"/>
      <c r="H55" s="25" t="n"/>
      <c r="I55" s="25" t="n"/>
      <c r="J55" s="26" t="n"/>
      <c r="K55" s="25" t="n"/>
      <c r="L55" s="25" t="n"/>
      <c r="M55" s="25" t="n"/>
      <c r="N55" s="25" t="n"/>
      <c r="O55" s="27" t="n"/>
      <c r="P55" s="27" t="n"/>
      <c r="Q55" s="25">
        <f>IF(AND(J55&lt;&gt;"",L55&lt;&gt;"Yes",N55&lt;&gt;"Closed won",N55&lt;&gt;"Closed lost",N55&lt;&gt;"No response",N55&lt;&gt;"Skipped",TODAY()-J55&gt;=3),"Follow up","")</f>
        <v/>
      </c>
      <c r="R55" s="25" t="n"/>
    </row>
    <row r="56">
      <c r="A56" s="6" t="n">
        <v>55</v>
      </c>
      <c r="B56" s="25" t="n"/>
      <c r="C56" s="25" t="n"/>
      <c r="D56" s="25" t="n"/>
      <c r="E56" s="25" t="n"/>
      <c r="F56" s="25" t="n"/>
      <c r="G56" s="25" t="n"/>
      <c r="H56" s="25" t="n"/>
      <c r="I56" s="25" t="n"/>
      <c r="J56" s="26" t="n"/>
      <c r="K56" s="25" t="n"/>
      <c r="L56" s="25" t="n"/>
      <c r="M56" s="25" t="n"/>
      <c r="N56" s="25" t="n"/>
      <c r="O56" s="27" t="n"/>
      <c r="P56" s="27" t="n"/>
      <c r="Q56" s="25">
        <f>IF(AND(J56&lt;&gt;"",L56&lt;&gt;"Yes",N56&lt;&gt;"Closed won",N56&lt;&gt;"Closed lost",N56&lt;&gt;"No response",N56&lt;&gt;"Skipped",TODAY()-J56&gt;=3),"Follow up","")</f>
        <v/>
      </c>
      <c r="R56" s="25" t="n"/>
    </row>
    <row r="57">
      <c r="A57" s="6" t="n">
        <v>56</v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6" t="n"/>
      <c r="K57" s="25" t="n"/>
      <c r="L57" s="25" t="n"/>
      <c r="M57" s="25" t="n"/>
      <c r="N57" s="25" t="n"/>
      <c r="O57" s="27" t="n"/>
      <c r="P57" s="27" t="n"/>
      <c r="Q57" s="25">
        <f>IF(AND(J57&lt;&gt;"",L57&lt;&gt;"Yes",N57&lt;&gt;"Closed won",N57&lt;&gt;"Closed lost",N57&lt;&gt;"No response",N57&lt;&gt;"Skipped",TODAY()-J57&gt;=3),"Follow up","")</f>
        <v/>
      </c>
      <c r="R57" s="25" t="n"/>
    </row>
    <row r="58">
      <c r="A58" s="6" t="n">
        <v>57</v>
      </c>
      <c r="B58" s="25" t="n"/>
      <c r="C58" s="25" t="n"/>
      <c r="D58" s="25" t="n"/>
      <c r="E58" s="25" t="n"/>
      <c r="F58" s="25" t="n"/>
      <c r="G58" s="25" t="n"/>
      <c r="H58" s="25" t="n"/>
      <c r="I58" s="25" t="n"/>
      <c r="J58" s="26" t="n"/>
      <c r="K58" s="25" t="n"/>
      <c r="L58" s="25" t="n"/>
      <c r="M58" s="25" t="n"/>
      <c r="N58" s="25" t="n"/>
      <c r="O58" s="27" t="n"/>
      <c r="P58" s="27" t="n"/>
      <c r="Q58" s="25">
        <f>IF(AND(J58&lt;&gt;"",L58&lt;&gt;"Yes",N58&lt;&gt;"Closed won",N58&lt;&gt;"Closed lost",N58&lt;&gt;"No response",N58&lt;&gt;"Skipped",TODAY()-J58&gt;=3),"Follow up","")</f>
        <v/>
      </c>
      <c r="R58" s="25" t="n"/>
    </row>
    <row r="59">
      <c r="A59" s="6" t="n">
        <v>58</v>
      </c>
      <c r="B59" s="25" t="n"/>
      <c r="C59" s="25" t="n"/>
      <c r="D59" s="25" t="n"/>
      <c r="E59" s="25" t="n"/>
      <c r="F59" s="25" t="n"/>
      <c r="G59" s="25" t="n"/>
      <c r="H59" s="25" t="n"/>
      <c r="I59" s="25" t="n"/>
      <c r="J59" s="26" t="n"/>
      <c r="K59" s="25" t="n"/>
      <c r="L59" s="25" t="n"/>
      <c r="M59" s="25" t="n"/>
      <c r="N59" s="25" t="n"/>
      <c r="O59" s="27" t="n"/>
      <c r="P59" s="27" t="n"/>
      <c r="Q59" s="25">
        <f>IF(AND(J59&lt;&gt;"",L59&lt;&gt;"Yes",N59&lt;&gt;"Closed won",N59&lt;&gt;"Closed lost",N59&lt;&gt;"No response",N59&lt;&gt;"Skipped",TODAY()-J59&gt;=3),"Follow up","")</f>
        <v/>
      </c>
      <c r="R59" s="25" t="n"/>
    </row>
    <row r="60">
      <c r="A60" s="6" t="n">
        <v>59</v>
      </c>
      <c r="B60" s="25" t="n"/>
      <c r="C60" s="25" t="n"/>
      <c r="D60" s="25" t="n"/>
      <c r="E60" s="25" t="n"/>
      <c r="F60" s="25" t="n"/>
      <c r="G60" s="25" t="n"/>
      <c r="H60" s="25" t="n"/>
      <c r="I60" s="25" t="n"/>
      <c r="J60" s="26" t="n"/>
      <c r="K60" s="25" t="n"/>
      <c r="L60" s="25" t="n"/>
      <c r="M60" s="25" t="n"/>
      <c r="N60" s="25" t="n"/>
      <c r="O60" s="27" t="n"/>
      <c r="P60" s="27" t="n"/>
      <c r="Q60" s="25">
        <f>IF(AND(J60&lt;&gt;"",L60&lt;&gt;"Yes",N60&lt;&gt;"Closed won",N60&lt;&gt;"Closed lost",N60&lt;&gt;"No response",N60&lt;&gt;"Skipped",TODAY()-J60&gt;=3),"Follow up","")</f>
        <v/>
      </c>
      <c r="R60" s="25" t="n"/>
    </row>
    <row r="61">
      <c r="A61" s="6" t="n">
        <v>60</v>
      </c>
      <c r="B61" s="25" t="n"/>
      <c r="C61" s="25" t="n"/>
      <c r="D61" s="25" t="n"/>
      <c r="E61" s="25" t="n"/>
      <c r="F61" s="25" t="n"/>
      <c r="G61" s="25" t="n"/>
      <c r="H61" s="25" t="n"/>
      <c r="I61" s="25" t="n"/>
      <c r="J61" s="26" t="n"/>
      <c r="K61" s="25" t="n"/>
      <c r="L61" s="25" t="n"/>
      <c r="M61" s="25" t="n"/>
      <c r="N61" s="25" t="n"/>
      <c r="O61" s="27" t="n"/>
      <c r="P61" s="27" t="n"/>
      <c r="Q61" s="25">
        <f>IF(AND(J61&lt;&gt;"",L61&lt;&gt;"Yes",N61&lt;&gt;"Closed won",N61&lt;&gt;"Closed lost",N61&lt;&gt;"No response",N61&lt;&gt;"Skipped",TODAY()-J61&gt;=3),"Follow up","")</f>
        <v/>
      </c>
      <c r="R61" s="25" t="n"/>
    </row>
    <row r="62">
      <c r="A62" s="6" t="n">
        <v>61</v>
      </c>
      <c r="B62" s="25" t="n"/>
      <c r="C62" s="25" t="n"/>
      <c r="D62" s="25" t="n"/>
      <c r="E62" s="25" t="n"/>
      <c r="F62" s="25" t="n"/>
      <c r="G62" s="25" t="n"/>
      <c r="H62" s="25" t="n"/>
      <c r="I62" s="25" t="n"/>
      <c r="J62" s="26" t="n"/>
      <c r="K62" s="25" t="n"/>
      <c r="L62" s="25" t="n"/>
      <c r="M62" s="25" t="n"/>
      <c r="N62" s="25" t="n"/>
      <c r="O62" s="27" t="n"/>
      <c r="P62" s="27" t="n"/>
      <c r="Q62" s="25">
        <f>IF(AND(J62&lt;&gt;"",L62&lt;&gt;"Yes",N62&lt;&gt;"Closed won",N62&lt;&gt;"Closed lost",N62&lt;&gt;"No response",N62&lt;&gt;"Skipped",TODAY()-J62&gt;=3),"Follow up","")</f>
        <v/>
      </c>
      <c r="R62" s="25" t="n"/>
    </row>
    <row r="63">
      <c r="A63" s="6" t="n">
        <v>62</v>
      </c>
      <c r="B63" s="25" t="n"/>
      <c r="C63" s="25" t="n"/>
      <c r="D63" s="25" t="n"/>
      <c r="E63" s="25" t="n"/>
      <c r="F63" s="25" t="n"/>
      <c r="G63" s="25" t="n"/>
      <c r="H63" s="25" t="n"/>
      <c r="I63" s="25" t="n"/>
      <c r="J63" s="26" t="n"/>
      <c r="K63" s="25" t="n"/>
      <c r="L63" s="25" t="n"/>
      <c r="M63" s="25" t="n"/>
      <c r="N63" s="25" t="n"/>
      <c r="O63" s="27" t="n"/>
      <c r="P63" s="27" t="n"/>
      <c r="Q63" s="25">
        <f>IF(AND(J63&lt;&gt;"",L63&lt;&gt;"Yes",N63&lt;&gt;"Closed won",N63&lt;&gt;"Closed lost",N63&lt;&gt;"No response",N63&lt;&gt;"Skipped",TODAY()-J63&gt;=3),"Follow up","")</f>
        <v/>
      </c>
      <c r="R63" s="25" t="n"/>
    </row>
    <row r="64">
      <c r="A64" s="6" t="n">
        <v>63</v>
      </c>
      <c r="B64" s="25" t="n"/>
      <c r="C64" s="25" t="n"/>
      <c r="D64" s="25" t="n"/>
      <c r="E64" s="25" t="n"/>
      <c r="F64" s="25" t="n"/>
      <c r="G64" s="25" t="n"/>
      <c r="H64" s="25" t="n"/>
      <c r="I64" s="25" t="n"/>
      <c r="J64" s="26" t="n"/>
      <c r="K64" s="25" t="n"/>
      <c r="L64" s="25" t="n"/>
      <c r="M64" s="25" t="n"/>
      <c r="N64" s="25" t="n"/>
      <c r="O64" s="27" t="n"/>
      <c r="P64" s="27" t="n"/>
      <c r="Q64" s="25">
        <f>IF(AND(J64&lt;&gt;"",L64&lt;&gt;"Yes",N64&lt;&gt;"Closed won",N64&lt;&gt;"Closed lost",N64&lt;&gt;"No response",N64&lt;&gt;"Skipped",TODAY()-J64&gt;=3),"Follow up","")</f>
        <v/>
      </c>
      <c r="R64" s="25" t="n"/>
    </row>
    <row r="65">
      <c r="A65" s="6" t="n">
        <v>64</v>
      </c>
      <c r="B65" s="25" t="n"/>
      <c r="C65" s="25" t="n"/>
      <c r="D65" s="25" t="n"/>
      <c r="E65" s="25" t="n"/>
      <c r="F65" s="25" t="n"/>
      <c r="G65" s="25" t="n"/>
      <c r="H65" s="25" t="n"/>
      <c r="I65" s="25" t="n"/>
      <c r="J65" s="26" t="n"/>
      <c r="K65" s="25" t="n"/>
      <c r="L65" s="25" t="n"/>
      <c r="M65" s="25" t="n"/>
      <c r="N65" s="25" t="n"/>
      <c r="O65" s="27" t="n"/>
      <c r="P65" s="27" t="n"/>
      <c r="Q65" s="25">
        <f>IF(AND(J65&lt;&gt;"",L65&lt;&gt;"Yes",N65&lt;&gt;"Closed won",N65&lt;&gt;"Closed lost",N65&lt;&gt;"No response",N65&lt;&gt;"Skipped",TODAY()-J65&gt;=3),"Follow up","")</f>
        <v/>
      </c>
      <c r="R65" s="25" t="n"/>
    </row>
    <row r="66">
      <c r="A66" s="6" t="n">
        <v>65</v>
      </c>
      <c r="B66" s="25" t="n"/>
      <c r="C66" s="25" t="n"/>
      <c r="D66" s="25" t="n"/>
      <c r="E66" s="25" t="n"/>
      <c r="F66" s="25" t="n"/>
      <c r="G66" s="25" t="n"/>
      <c r="H66" s="25" t="n"/>
      <c r="I66" s="25" t="n"/>
      <c r="J66" s="26" t="n"/>
      <c r="K66" s="25" t="n"/>
      <c r="L66" s="25" t="n"/>
      <c r="M66" s="25" t="n"/>
      <c r="N66" s="25" t="n"/>
      <c r="O66" s="27" t="n"/>
      <c r="P66" s="27" t="n"/>
      <c r="Q66" s="25">
        <f>IF(AND(J66&lt;&gt;"",L66&lt;&gt;"Yes",N66&lt;&gt;"Closed won",N66&lt;&gt;"Closed lost",N66&lt;&gt;"No response",N66&lt;&gt;"Skipped",TODAY()-J66&gt;=3),"Follow up","")</f>
        <v/>
      </c>
      <c r="R66" s="25" t="n"/>
    </row>
    <row r="67">
      <c r="A67" s="6" t="n">
        <v>66</v>
      </c>
      <c r="B67" s="25" t="n"/>
      <c r="C67" s="25" t="n"/>
      <c r="D67" s="25" t="n"/>
      <c r="E67" s="25" t="n"/>
      <c r="F67" s="25" t="n"/>
      <c r="G67" s="25" t="n"/>
      <c r="H67" s="25" t="n"/>
      <c r="I67" s="25" t="n"/>
      <c r="J67" s="26" t="n"/>
      <c r="K67" s="25" t="n"/>
      <c r="L67" s="25" t="n"/>
      <c r="M67" s="25" t="n"/>
      <c r="N67" s="25" t="n"/>
      <c r="O67" s="27" t="n"/>
      <c r="P67" s="27" t="n"/>
      <c r="Q67" s="25">
        <f>IF(AND(J67&lt;&gt;"",L67&lt;&gt;"Yes",N67&lt;&gt;"Closed won",N67&lt;&gt;"Closed lost",N67&lt;&gt;"No response",N67&lt;&gt;"Skipped",TODAY()-J67&gt;=3),"Follow up","")</f>
        <v/>
      </c>
      <c r="R67" s="25" t="n"/>
    </row>
    <row r="68">
      <c r="A68" s="6" t="n">
        <v>67</v>
      </c>
      <c r="B68" s="25" t="n"/>
      <c r="C68" s="25" t="n"/>
      <c r="D68" s="25" t="n"/>
      <c r="E68" s="25" t="n"/>
      <c r="F68" s="25" t="n"/>
      <c r="G68" s="25" t="n"/>
      <c r="H68" s="25" t="n"/>
      <c r="I68" s="25" t="n"/>
      <c r="J68" s="26" t="n"/>
      <c r="K68" s="25" t="n"/>
      <c r="L68" s="25" t="n"/>
      <c r="M68" s="25" t="n"/>
      <c r="N68" s="25" t="n"/>
      <c r="O68" s="27" t="n"/>
      <c r="P68" s="27" t="n"/>
      <c r="Q68" s="25">
        <f>IF(AND(J68&lt;&gt;"",L68&lt;&gt;"Yes",N68&lt;&gt;"Closed won",N68&lt;&gt;"Closed lost",N68&lt;&gt;"No response",N68&lt;&gt;"Skipped",TODAY()-J68&gt;=3),"Follow up","")</f>
        <v/>
      </c>
      <c r="R68" s="25" t="n"/>
    </row>
    <row r="69">
      <c r="A69" s="6" t="n">
        <v>68</v>
      </c>
      <c r="B69" s="25" t="n"/>
      <c r="C69" s="25" t="n"/>
      <c r="D69" s="25" t="n"/>
      <c r="E69" s="25" t="n"/>
      <c r="F69" s="25" t="n"/>
      <c r="G69" s="25" t="n"/>
      <c r="H69" s="25" t="n"/>
      <c r="I69" s="25" t="n"/>
      <c r="J69" s="26" t="n"/>
      <c r="K69" s="25" t="n"/>
      <c r="L69" s="25" t="n"/>
      <c r="M69" s="25" t="n"/>
      <c r="N69" s="25" t="n"/>
      <c r="O69" s="27" t="n"/>
      <c r="P69" s="27" t="n"/>
      <c r="Q69" s="25">
        <f>IF(AND(J69&lt;&gt;"",L69&lt;&gt;"Yes",N69&lt;&gt;"Closed won",N69&lt;&gt;"Closed lost",N69&lt;&gt;"No response",N69&lt;&gt;"Skipped",TODAY()-J69&gt;=3),"Follow up","")</f>
        <v/>
      </c>
      <c r="R69" s="25" t="n"/>
    </row>
    <row r="70">
      <c r="A70" s="6" t="n">
        <v>69</v>
      </c>
      <c r="B70" s="25" t="n"/>
      <c r="C70" s="25" t="n"/>
      <c r="D70" s="25" t="n"/>
      <c r="E70" s="25" t="n"/>
      <c r="F70" s="25" t="n"/>
      <c r="G70" s="25" t="n"/>
      <c r="H70" s="25" t="n"/>
      <c r="I70" s="25" t="n"/>
      <c r="J70" s="26" t="n"/>
      <c r="K70" s="25" t="n"/>
      <c r="L70" s="25" t="n"/>
      <c r="M70" s="25" t="n"/>
      <c r="N70" s="25" t="n"/>
      <c r="O70" s="27" t="n"/>
      <c r="P70" s="27" t="n"/>
      <c r="Q70" s="25">
        <f>IF(AND(J70&lt;&gt;"",L70&lt;&gt;"Yes",N70&lt;&gt;"Closed won",N70&lt;&gt;"Closed lost",N70&lt;&gt;"No response",N70&lt;&gt;"Skipped",TODAY()-J70&gt;=3),"Follow up","")</f>
        <v/>
      </c>
      <c r="R70" s="25" t="n"/>
    </row>
    <row r="71">
      <c r="A71" s="6" t="n">
        <v>70</v>
      </c>
      <c r="B71" s="25" t="n"/>
      <c r="C71" s="25" t="n"/>
      <c r="D71" s="25" t="n"/>
      <c r="E71" s="25" t="n"/>
      <c r="F71" s="25" t="n"/>
      <c r="G71" s="25" t="n"/>
      <c r="H71" s="25" t="n"/>
      <c r="I71" s="25" t="n"/>
      <c r="J71" s="26" t="n"/>
      <c r="K71" s="25" t="n"/>
      <c r="L71" s="25" t="n"/>
      <c r="M71" s="25" t="n"/>
      <c r="N71" s="25" t="n"/>
      <c r="O71" s="27" t="n"/>
      <c r="P71" s="27" t="n"/>
      <c r="Q71" s="25">
        <f>IF(AND(J71&lt;&gt;"",L71&lt;&gt;"Yes",N71&lt;&gt;"Closed won",N71&lt;&gt;"Closed lost",N71&lt;&gt;"No response",N71&lt;&gt;"Skipped",TODAY()-J71&gt;=3),"Follow up","")</f>
        <v/>
      </c>
      <c r="R71" s="25" t="n"/>
    </row>
    <row r="72">
      <c r="A72" s="6" t="n">
        <v>71</v>
      </c>
      <c r="B72" s="25" t="n"/>
      <c r="C72" s="25" t="n"/>
      <c r="D72" s="25" t="n"/>
      <c r="E72" s="25" t="n"/>
      <c r="F72" s="25" t="n"/>
      <c r="G72" s="25" t="n"/>
      <c r="H72" s="25" t="n"/>
      <c r="I72" s="25" t="n"/>
      <c r="J72" s="26" t="n"/>
      <c r="K72" s="25" t="n"/>
      <c r="L72" s="25" t="n"/>
      <c r="M72" s="25" t="n"/>
      <c r="N72" s="25" t="n"/>
      <c r="O72" s="27" t="n"/>
      <c r="P72" s="27" t="n"/>
      <c r="Q72" s="25">
        <f>IF(AND(J72&lt;&gt;"",L72&lt;&gt;"Yes",N72&lt;&gt;"Closed won",N72&lt;&gt;"Closed lost",N72&lt;&gt;"No response",N72&lt;&gt;"Skipped",TODAY()-J72&gt;=3),"Follow up","")</f>
        <v/>
      </c>
      <c r="R72" s="25" t="n"/>
    </row>
    <row r="73">
      <c r="A73" s="6" t="n">
        <v>72</v>
      </c>
      <c r="B73" s="25" t="n"/>
      <c r="C73" s="25" t="n"/>
      <c r="D73" s="25" t="n"/>
      <c r="E73" s="25" t="n"/>
      <c r="F73" s="25" t="n"/>
      <c r="G73" s="25" t="n"/>
      <c r="H73" s="25" t="n"/>
      <c r="I73" s="25" t="n"/>
      <c r="J73" s="26" t="n"/>
      <c r="K73" s="25" t="n"/>
      <c r="L73" s="25" t="n"/>
      <c r="M73" s="25" t="n"/>
      <c r="N73" s="25" t="n"/>
      <c r="O73" s="27" t="n"/>
      <c r="P73" s="27" t="n"/>
      <c r="Q73" s="25">
        <f>IF(AND(J73&lt;&gt;"",L73&lt;&gt;"Yes",N73&lt;&gt;"Closed won",N73&lt;&gt;"Closed lost",N73&lt;&gt;"No response",N73&lt;&gt;"Skipped",TODAY()-J73&gt;=3),"Follow up","")</f>
        <v/>
      </c>
      <c r="R73" s="25" t="n"/>
    </row>
    <row r="74">
      <c r="A74" s="6" t="n">
        <v>73</v>
      </c>
      <c r="B74" s="25" t="n"/>
      <c r="C74" s="25" t="n"/>
      <c r="D74" s="25" t="n"/>
      <c r="E74" s="25" t="n"/>
      <c r="F74" s="25" t="n"/>
      <c r="G74" s="25" t="n"/>
      <c r="H74" s="25" t="n"/>
      <c r="I74" s="25" t="n"/>
      <c r="J74" s="26" t="n"/>
      <c r="K74" s="25" t="n"/>
      <c r="L74" s="25" t="n"/>
      <c r="M74" s="25" t="n"/>
      <c r="N74" s="25" t="n"/>
      <c r="O74" s="27" t="n"/>
      <c r="P74" s="27" t="n"/>
      <c r="Q74" s="25">
        <f>IF(AND(J74&lt;&gt;"",L74&lt;&gt;"Yes",N74&lt;&gt;"Closed won",N74&lt;&gt;"Closed lost",N74&lt;&gt;"No response",N74&lt;&gt;"Skipped",TODAY()-J74&gt;=3),"Follow up","")</f>
        <v/>
      </c>
      <c r="R74" s="25" t="n"/>
    </row>
    <row r="75">
      <c r="A75" s="6" t="n">
        <v>74</v>
      </c>
      <c r="B75" s="25" t="n"/>
      <c r="C75" s="25" t="n"/>
      <c r="D75" s="25" t="n"/>
      <c r="E75" s="25" t="n"/>
      <c r="F75" s="25" t="n"/>
      <c r="G75" s="25" t="n"/>
      <c r="H75" s="25" t="n"/>
      <c r="I75" s="25" t="n"/>
      <c r="J75" s="26" t="n"/>
      <c r="K75" s="25" t="n"/>
      <c r="L75" s="25" t="n"/>
      <c r="M75" s="25" t="n"/>
      <c r="N75" s="25" t="n"/>
      <c r="O75" s="27" t="n"/>
      <c r="P75" s="27" t="n"/>
      <c r="Q75" s="25">
        <f>IF(AND(J75&lt;&gt;"",L75&lt;&gt;"Yes",N75&lt;&gt;"Closed won",N75&lt;&gt;"Closed lost",N75&lt;&gt;"No response",N75&lt;&gt;"Skipped",TODAY()-J75&gt;=3),"Follow up","")</f>
        <v/>
      </c>
      <c r="R75" s="25" t="n"/>
    </row>
    <row r="76">
      <c r="A76" s="6" t="n">
        <v>75</v>
      </c>
      <c r="B76" s="25" t="n"/>
      <c r="C76" s="25" t="n"/>
      <c r="D76" s="25" t="n"/>
      <c r="E76" s="25" t="n"/>
      <c r="F76" s="25" t="n"/>
      <c r="G76" s="25" t="n"/>
      <c r="H76" s="25" t="n"/>
      <c r="I76" s="25" t="n"/>
      <c r="J76" s="26" t="n"/>
      <c r="K76" s="25" t="n"/>
      <c r="L76" s="25" t="n"/>
      <c r="M76" s="25" t="n"/>
      <c r="N76" s="25" t="n"/>
      <c r="O76" s="27" t="n"/>
      <c r="P76" s="27" t="n"/>
      <c r="Q76" s="25">
        <f>IF(AND(J76&lt;&gt;"",L76&lt;&gt;"Yes",N76&lt;&gt;"Closed won",N76&lt;&gt;"Closed lost",N76&lt;&gt;"No response",N76&lt;&gt;"Skipped",TODAY()-J76&gt;=3),"Follow up","")</f>
        <v/>
      </c>
      <c r="R76" s="25" t="n"/>
    </row>
    <row r="77">
      <c r="A77" s="6" t="n">
        <v>76</v>
      </c>
      <c r="B77" s="25" t="n"/>
      <c r="C77" s="25" t="n"/>
      <c r="D77" s="25" t="n"/>
      <c r="E77" s="25" t="n"/>
      <c r="F77" s="25" t="n"/>
      <c r="G77" s="25" t="n"/>
      <c r="H77" s="25" t="n"/>
      <c r="I77" s="25" t="n"/>
      <c r="J77" s="26" t="n"/>
      <c r="K77" s="25" t="n"/>
      <c r="L77" s="25" t="n"/>
      <c r="M77" s="25" t="n"/>
      <c r="N77" s="25" t="n"/>
      <c r="O77" s="27" t="n"/>
      <c r="P77" s="27" t="n"/>
      <c r="Q77" s="25">
        <f>IF(AND(J77&lt;&gt;"",L77&lt;&gt;"Yes",N77&lt;&gt;"Closed won",N77&lt;&gt;"Closed lost",N77&lt;&gt;"No response",N77&lt;&gt;"Skipped",TODAY()-J77&gt;=3),"Follow up","")</f>
        <v/>
      </c>
      <c r="R77" s="25" t="n"/>
    </row>
    <row r="78">
      <c r="A78" s="6" t="n">
        <v>77</v>
      </c>
      <c r="B78" s="25" t="n"/>
      <c r="C78" s="25" t="n"/>
      <c r="D78" s="25" t="n"/>
      <c r="E78" s="25" t="n"/>
      <c r="F78" s="25" t="n"/>
      <c r="G78" s="25" t="n"/>
      <c r="H78" s="25" t="n"/>
      <c r="I78" s="25" t="n"/>
      <c r="J78" s="26" t="n"/>
      <c r="K78" s="25" t="n"/>
      <c r="L78" s="25" t="n"/>
      <c r="M78" s="25" t="n"/>
      <c r="N78" s="25" t="n"/>
      <c r="O78" s="27" t="n"/>
      <c r="P78" s="27" t="n"/>
      <c r="Q78" s="25">
        <f>IF(AND(J78&lt;&gt;"",L78&lt;&gt;"Yes",N78&lt;&gt;"Closed won",N78&lt;&gt;"Closed lost",N78&lt;&gt;"No response",N78&lt;&gt;"Skipped",TODAY()-J78&gt;=3),"Follow up","")</f>
        <v/>
      </c>
      <c r="R78" s="25" t="n"/>
    </row>
    <row r="79">
      <c r="A79" s="6" t="n">
        <v>78</v>
      </c>
      <c r="B79" s="25" t="n"/>
      <c r="C79" s="25" t="n"/>
      <c r="D79" s="25" t="n"/>
      <c r="E79" s="25" t="n"/>
      <c r="F79" s="25" t="n"/>
      <c r="G79" s="25" t="n"/>
      <c r="H79" s="25" t="n"/>
      <c r="I79" s="25" t="n"/>
      <c r="J79" s="26" t="n"/>
      <c r="K79" s="25" t="n"/>
      <c r="L79" s="25" t="n"/>
      <c r="M79" s="25" t="n"/>
      <c r="N79" s="25" t="n"/>
      <c r="O79" s="27" t="n"/>
      <c r="P79" s="27" t="n"/>
      <c r="Q79" s="25">
        <f>IF(AND(J79&lt;&gt;"",L79&lt;&gt;"Yes",N79&lt;&gt;"Closed won",N79&lt;&gt;"Closed lost",N79&lt;&gt;"No response",N79&lt;&gt;"Skipped",TODAY()-J79&gt;=3),"Follow up","")</f>
        <v/>
      </c>
      <c r="R79" s="25" t="n"/>
    </row>
    <row r="80">
      <c r="A80" s="6" t="n">
        <v>79</v>
      </c>
      <c r="B80" s="25" t="n"/>
      <c r="C80" s="25" t="n"/>
      <c r="D80" s="25" t="n"/>
      <c r="E80" s="25" t="n"/>
      <c r="F80" s="25" t="n"/>
      <c r="G80" s="25" t="n"/>
      <c r="H80" s="25" t="n"/>
      <c r="I80" s="25" t="n"/>
      <c r="J80" s="26" t="n"/>
      <c r="K80" s="25" t="n"/>
      <c r="L80" s="25" t="n"/>
      <c r="M80" s="25" t="n"/>
      <c r="N80" s="25" t="n"/>
      <c r="O80" s="27" t="n"/>
      <c r="P80" s="27" t="n"/>
      <c r="Q80" s="25">
        <f>IF(AND(J80&lt;&gt;"",L80&lt;&gt;"Yes",N80&lt;&gt;"Closed won",N80&lt;&gt;"Closed lost",N80&lt;&gt;"No response",N80&lt;&gt;"Skipped",TODAY()-J80&gt;=3),"Follow up","")</f>
        <v/>
      </c>
      <c r="R80" s="25" t="n"/>
    </row>
    <row r="81">
      <c r="A81" s="6" t="n">
        <v>80</v>
      </c>
      <c r="B81" s="25" t="n"/>
      <c r="C81" s="25" t="n"/>
      <c r="D81" s="25" t="n"/>
      <c r="E81" s="25" t="n"/>
      <c r="F81" s="25" t="n"/>
      <c r="G81" s="25" t="n"/>
      <c r="H81" s="25" t="n"/>
      <c r="I81" s="25" t="n"/>
      <c r="J81" s="26" t="n"/>
      <c r="K81" s="25" t="n"/>
      <c r="L81" s="25" t="n"/>
      <c r="M81" s="25" t="n"/>
      <c r="N81" s="25" t="n"/>
      <c r="O81" s="27" t="n"/>
      <c r="P81" s="27" t="n"/>
      <c r="Q81" s="25">
        <f>IF(AND(J81&lt;&gt;"",L81&lt;&gt;"Yes",N81&lt;&gt;"Closed won",N81&lt;&gt;"Closed lost",N81&lt;&gt;"No response",N81&lt;&gt;"Skipped",TODAY()-J81&gt;=3),"Follow up","")</f>
        <v/>
      </c>
      <c r="R81" s="25" t="n"/>
    </row>
    <row r="82">
      <c r="A82" s="6" t="n">
        <v>81</v>
      </c>
      <c r="B82" s="25" t="n"/>
      <c r="C82" s="25" t="n"/>
      <c r="D82" s="25" t="n"/>
      <c r="E82" s="25" t="n"/>
      <c r="F82" s="25" t="n"/>
      <c r="G82" s="25" t="n"/>
      <c r="H82" s="25" t="n"/>
      <c r="I82" s="25" t="n"/>
      <c r="J82" s="26" t="n"/>
      <c r="K82" s="25" t="n"/>
      <c r="L82" s="25" t="n"/>
      <c r="M82" s="25" t="n"/>
      <c r="N82" s="25" t="n"/>
      <c r="O82" s="27" t="n"/>
      <c r="P82" s="27" t="n"/>
      <c r="Q82" s="25">
        <f>IF(AND(J82&lt;&gt;"",L82&lt;&gt;"Yes",N82&lt;&gt;"Closed won",N82&lt;&gt;"Closed lost",N82&lt;&gt;"No response",N82&lt;&gt;"Skipped",TODAY()-J82&gt;=3),"Follow up","")</f>
        <v/>
      </c>
      <c r="R82" s="25" t="n"/>
    </row>
    <row r="83">
      <c r="A83" s="6" t="n">
        <v>82</v>
      </c>
      <c r="B83" s="25" t="n"/>
      <c r="C83" s="25" t="n"/>
      <c r="D83" s="25" t="n"/>
      <c r="E83" s="25" t="n"/>
      <c r="F83" s="25" t="n"/>
      <c r="G83" s="25" t="n"/>
      <c r="H83" s="25" t="n"/>
      <c r="I83" s="25" t="n"/>
      <c r="J83" s="26" t="n"/>
      <c r="K83" s="25" t="n"/>
      <c r="L83" s="25" t="n"/>
      <c r="M83" s="25" t="n"/>
      <c r="N83" s="25" t="n"/>
      <c r="O83" s="27" t="n"/>
      <c r="P83" s="27" t="n"/>
      <c r="Q83" s="25">
        <f>IF(AND(J83&lt;&gt;"",L83&lt;&gt;"Yes",N83&lt;&gt;"Closed won",N83&lt;&gt;"Closed lost",N83&lt;&gt;"No response",N83&lt;&gt;"Skipped",TODAY()-J83&gt;=3),"Follow up","")</f>
        <v/>
      </c>
      <c r="R83" s="25" t="n"/>
    </row>
    <row r="84">
      <c r="A84" s="6" t="n">
        <v>83</v>
      </c>
      <c r="B84" s="25" t="n"/>
      <c r="C84" s="25" t="n"/>
      <c r="D84" s="25" t="n"/>
      <c r="E84" s="25" t="n"/>
      <c r="F84" s="25" t="n"/>
      <c r="G84" s="25" t="n"/>
      <c r="H84" s="25" t="n"/>
      <c r="I84" s="25" t="n"/>
      <c r="J84" s="26" t="n"/>
      <c r="K84" s="25" t="n"/>
      <c r="L84" s="25" t="n"/>
      <c r="M84" s="25" t="n"/>
      <c r="N84" s="25" t="n"/>
      <c r="O84" s="27" t="n"/>
      <c r="P84" s="27" t="n"/>
      <c r="Q84" s="25">
        <f>IF(AND(J84&lt;&gt;"",L84&lt;&gt;"Yes",N84&lt;&gt;"Closed won",N84&lt;&gt;"Closed lost",N84&lt;&gt;"No response",N84&lt;&gt;"Skipped",TODAY()-J84&gt;=3),"Follow up","")</f>
        <v/>
      </c>
      <c r="R84" s="25" t="n"/>
    </row>
    <row r="85">
      <c r="A85" s="6" t="n">
        <v>84</v>
      </c>
      <c r="B85" s="25" t="n"/>
      <c r="C85" s="25" t="n"/>
      <c r="D85" s="25" t="n"/>
      <c r="E85" s="25" t="n"/>
      <c r="F85" s="25" t="n"/>
      <c r="G85" s="25" t="n"/>
      <c r="H85" s="25" t="n"/>
      <c r="I85" s="25" t="n"/>
      <c r="J85" s="26" t="n"/>
      <c r="K85" s="25" t="n"/>
      <c r="L85" s="25" t="n"/>
      <c r="M85" s="25" t="n"/>
      <c r="N85" s="25" t="n"/>
      <c r="O85" s="27" t="n"/>
      <c r="P85" s="27" t="n"/>
      <c r="Q85" s="25">
        <f>IF(AND(J85&lt;&gt;"",L85&lt;&gt;"Yes",N85&lt;&gt;"Closed won",N85&lt;&gt;"Closed lost",N85&lt;&gt;"No response",N85&lt;&gt;"Skipped",TODAY()-J85&gt;=3),"Follow up","")</f>
        <v/>
      </c>
      <c r="R85" s="25" t="n"/>
    </row>
    <row r="86">
      <c r="A86" s="6" t="n">
        <v>85</v>
      </c>
      <c r="B86" s="25" t="n"/>
      <c r="C86" s="25" t="n"/>
      <c r="D86" s="25" t="n"/>
      <c r="E86" s="25" t="n"/>
      <c r="F86" s="25" t="n"/>
      <c r="G86" s="25" t="n"/>
      <c r="H86" s="25" t="n"/>
      <c r="I86" s="25" t="n"/>
      <c r="J86" s="26" t="n"/>
      <c r="K86" s="25" t="n"/>
      <c r="L86" s="25" t="n"/>
      <c r="M86" s="25" t="n"/>
      <c r="N86" s="25" t="n"/>
      <c r="O86" s="27" t="n"/>
      <c r="P86" s="27" t="n"/>
      <c r="Q86" s="25">
        <f>IF(AND(J86&lt;&gt;"",L86&lt;&gt;"Yes",N86&lt;&gt;"Closed won",N86&lt;&gt;"Closed lost",N86&lt;&gt;"No response",N86&lt;&gt;"Skipped",TODAY()-J86&gt;=3),"Follow up","")</f>
        <v/>
      </c>
      <c r="R86" s="25" t="n"/>
    </row>
    <row r="87">
      <c r="A87" s="6" t="n">
        <v>86</v>
      </c>
      <c r="B87" s="25" t="n"/>
      <c r="C87" s="25" t="n"/>
      <c r="D87" s="25" t="n"/>
      <c r="E87" s="25" t="n"/>
      <c r="F87" s="25" t="n"/>
      <c r="G87" s="25" t="n"/>
      <c r="H87" s="25" t="n"/>
      <c r="I87" s="25" t="n"/>
      <c r="J87" s="26" t="n"/>
      <c r="K87" s="25" t="n"/>
      <c r="L87" s="25" t="n"/>
      <c r="M87" s="25" t="n"/>
      <c r="N87" s="25" t="n"/>
      <c r="O87" s="27" t="n"/>
      <c r="P87" s="27" t="n"/>
      <c r="Q87" s="25">
        <f>IF(AND(J87&lt;&gt;"",L87&lt;&gt;"Yes",N87&lt;&gt;"Closed won",N87&lt;&gt;"Closed lost",N87&lt;&gt;"No response",N87&lt;&gt;"Skipped",TODAY()-J87&gt;=3),"Follow up","")</f>
        <v/>
      </c>
      <c r="R87" s="25" t="n"/>
    </row>
    <row r="88">
      <c r="A88" s="6" t="n">
        <v>87</v>
      </c>
      <c r="B88" s="25" t="n"/>
      <c r="C88" s="25" t="n"/>
      <c r="D88" s="25" t="n"/>
      <c r="E88" s="25" t="n"/>
      <c r="F88" s="25" t="n"/>
      <c r="G88" s="25" t="n"/>
      <c r="H88" s="25" t="n"/>
      <c r="I88" s="25" t="n"/>
      <c r="J88" s="26" t="n"/>
      <c r="K88" s="25" t="n"/>
      <c r="L88" s="25" t="n"/>
      <c r="M88" s="25" t="n"/>
      <c r="N88" s="25" t="n"/>
      <c r="O88" s="27" t="n"/>
      <c r="P88" s="27" t="n"/>
      <c r="Q88" s="25">
        <f>IF(AND(J88&lt;&gt;"",L88&lt;&gt;"Yes",N88&lt;&gt;"Closed won",N88&lt;&gt;"Closed lost",N88&lt;&gt;"No response",N88&lt;&gt;"Skipped",TODAY()-J88&gt;=3),"Follow up","")</f>
        <v/>
      </c>
      <c r="R88" s="25" t="n"/>
    </row>
    <row r="89">
      <c r="A89" s="6" t="n">
        <v>88</v>
      </c>
      <c r="B89" s="25" t="n"/>
      <c r="C89" s="25" t="n"/>
      <c r="D89" s="25" t="n"/>
      <c r="E89" s="25" t="n"/>
      <c r="F89" s="25" t="n"/>
      <c r="G89" s="25" t="n"/>
      <c r="H89" s="25" t="n"/>
      <c r="I89" s="25" t="n"/>
      <c r="J89" s="26" t="n"/>
      <c r="K89" s="25" t="n"/>
      <c r="L89" s="25" t="n"/>
      <c r="M89" s="25" t="n"/>
      <c r="N89" s="25" t="n"/>
      <c r="O89" s="27" t="n"/>
      <c r="P89" s="27" t="n"/>
      <c r="Q89" s="25">
        <f>IF(AND(J89&lt;&gt;"",L89&lt;&gt;"Yes",N89&lt;&gt;"Closed won",N89&lt;&gt;"Closed lost",N89&lt;&gt;"No response",N89&lt;&gt;"Skipped",TODAY()-J89&gt;=3),"Follow up","")</f>
        <v/>
      </c>
      <c r="R89" s="25" t="n"/>
    </row>
    <row r="90">
      <c r="A90" s="6" t="n">
        <v>89</v>
      </c>
      <c r="B90" s="25" t="n"/>
      <c r="C90" s="25" t="n"/>
      <c r="D90" s="25" t="n"/>
      <c r="E90" s="25" t="n"/>
      <c r="F90" s="25" t="n"/>
      <c r="G90" s="25" t="n"/>
      <c r="H90" s="25" t="n"/>
      <c r="I90" s="25" t="n"/>
      <c r="J90" s="26" t="n"/>
      <c r="K90" s="25" t="n"/>
      <c r="L90" s="25" t="n"/>
      <c r="M90" s="25" t="n"/>
      <c r="N90" s="25" t="n"/>
      <c r="O90" s="27" t="n"/>
      <c r="P90" s="27" t="n"/>
      <c r="Q90" s="25">
        <f>IF(AND(J90&lt;&gt;"",L90&lt;&gt;"Yes",N90&lt;&gt;"Closed won",N90&lt;&gt;"Closed lost",N90&lt;&gt;"No response",N90&lt;&gt;"Skipped",TODAY()-J90&gt;=3),"Follow up","")</f>
        <v/>
      </c>
      <c r="R90" s="25" t="n"/>
    </row>
    <row r="91">
      <c r="A91" s="6" t="n">
        <v>90</v>
      </c>
      <c r="B91" s="25" t="n"/>
      <c r="C91" s="25" t="n"/>
      <c r="D91" s="25" t="n"/>
      <c r="E91" s="25" t="n"/>
      <c r="F91" s="25" t="n"/>
      <c r="G91" s="25" t="n"/>
      <c r="H91" s="25" t="n"/>
      <c r="I91" s="25" t="n"/>
      <c r="J91" s="26" t="n"/>
      <c r="K91" s="25" t="n"/>
      <c r="L91" s="25" t="n"/>
      <c r="M91" s="25" t="n"/>
      <c r="N91" s="25" t="n"/>
      <c r="O91" s="27" t="n"/>
      <c r="P91" s="27" t="n"/>
      <c r="Q91" s="25">
        <f>IF(AND(J91&lt;&gt;"",L91&lt;&gt;"Yes",N91&lt;&gt;"Closed won",N91&lt;&gt;"Closed lost",N91&lt;&gt;"No response",N91&lt;&gt;"Skipped",TODAY()-J91&gt;=3),"Follow up","")</f>
        <v/>
      </c>
      <c r="R91" s="25" t="n"/>
    </row>
    <row r="92">
      <c r="A92" s="6" t="n">
        <v>91</v>
      </c>
      <c r="B92" s="25" t="n"/>
      <c r="C92" s="25" t="n"/>
      <c r="D92" s="25" t="n"/>
      <c r="E92" s="25" t="n"/>
      <c r="F92" s="25" t="n"/>
      <c r="G92" s="25" t="n"/>
      <c r="H92" s="25" t="n"/>
      <c r="I92" s="25" t="n"/>
      <c r="J92" s="26" t="n"/>
      <c r="K92" s="25" t="n"/>
      <c r="L92" s="25" t="n"/>
      <c r="M92" s="25" t="n"/>
      <c r="N92" s="25" t="n"/>
      <c r="O92" s="27" t="n"/>
      <c r="P92" s="27" t="n"/>
      <c r="Q92" s="25">
        <f>IF(AND(J92&lt;&gt;"",L92&lt;&gt;"Yes",N92&lt;&gt;"Closed won",N92&lt;&gt;"Closed lost",N92&lt;&gt;"No response",N92&lt;&gt;"Skipped",TODAY()-J92&gt;=3),"Follow up","")</f>
        <v/>
      </c>
      <c r="R92" s="25" t="n"/>
    </row>
    <row r="93">
      <c r="A93" s="6" t="n">
        <v>92</v>
      </c>
      <c r="B93" s="25" t="n"/>
      <c r="C93" s="25" t="n"/>
      <c r="D93" s="25" t="n"/>
      <c r="E93" s="25" t="n"/>
      <c r="F93" s="25" t="n"/>
      <c r="G93" s="25" t="n"/>
      <c r="H93" s="25" t="n"/>
      <c r="I93" s="25" t="n"/>
      <c r="J93" s="26" t="n"/>
      <c r="K93" s="25" t="n"/>
      <c r="L93" s="25" t="n"/>
      <c r="M93" s="25" t="n"/>
      <c r="N93" s="25" t="n"/>
      <c r="O93" s="27" t="n"/>
      <c r="P93" s="27" t="n"/>
      <c r="Q93" s="25">
        <f>IF(AND(J93&lt;&gt;"",L93&lt;&gt;"Yes",N93&lt;&gt;"Closed won",N93&lt;&gt;"Closed lost",N93&lt;&gt;"No response",N93&lt;&gt;"Skipped",TODAY()-J93&gt;=3),"Follow up","")</f>
        <v/>
      </c>
      <c r="R93" s="25" t="n"/>
    </row>
    <row r="94">
      <c r="A94" s="6" t="n">
        <v>93</v>
      </c>
      <c r="B94" s="25" t="n"/>
      <c r="C94" s="25" t="n"/>
      <c r="D94" s="25" t="n"/>
      <c r="E94" s="25" t="n"/>
      <c r="F94" s="25" t="n"/>
      <c r="G94" s="25" t="n"/>
      <c r="H94" s="25" t="n"/>
      <c r="I94" s="25" t="n"/>
      <c r="J94" s="26" t="n"/>
      <c r="K94" s="25" t="n"/>
      <c r="L94" s="25" t="n"/>
      <c r="M94" s="25" t="n"/>
      <c r="N94" s="25" t="n"/>
      <c r="O94" s="27" t="n"/>
      <c r="P94" s="27" t="n"/>
      <c r="Q94" s="25">
        <f>IF(AND(J94&lt;&gt;"",L94&lt;&gt;"Yes",N94&lt;&gt;"Closed won",N94&lt;&gt;"Closed lost",N94&lt;&gt;"No response",N94&lt;&gt;"Skipped",TODAY()-J94&gt;=3),"Follow up","")</f>
        <v/>
      </c>
      <c r="R94" s="25" t="n"/>
    </row>
    <row r="95">
      <c r="A95" s="6" t="n">
        <v>94</v>
      </c>
      <c r="B95" s="25" t="n"/>
      <c r="C95" s="25" t="n"/>
      <c r="D95" s="25" t="n"/>
      <c r="E95" s="25" t="n"/>
      <c r="F95" s="25" t="n"/>
      <c r="G95" s="25" t="n"/>
      <c r="H95" s="25" t="n"/>
      <c r="I95" s="25" t="n"/>
      <c r="J95" s="26" t="n"/>
      <c r="K95" s="25" t="n"/>
      <c r="L95" s="25" t="n"/>
      <c r="M95" s="25" t="n"/>
      <c r="N95" s="25" t="n"/>
      <c r="O95" s="27" t="n"/>
      <c r="P95" s="27" t="n"/>
      <c r="Q95" s="25">
        <f>IF(AND(J95&lt;&gt;"",L95&lt;&gt;"Yes",N95&lt;&gt;"Closed won",N95&lt;&gt;"Closed lost",N95&lt;&gt;"No response",N95&lt;&gt;"Skipped",TODAY()-J95&gt;=3),"Follow up","")</f>
        <v/>
      </c>
      <c r="R95" s="25" t="n"/>
    </row>
    <row r="96">
      <c r="A96" s="6" t="n">
        <v>95</v>
      </c>
      <c r="B96" s="25" t="n"/>
      <c r="C96" s="25" t="n"/>
      <c r="D96" s="25" t="n"/>
      <c r="E96" s="25" t="n"/>
      <c r="F96" s="25" t="n"/>
      <c r="G96" s="25" t="n"/>
      <c r="H96" s="25" t="n"/>
      <c r="I96" s="25" t="n"/>
      <c r="J96" s="26" t="n"/>
      <c r="K96" s="25" t="n"/>
      <c r="L96" s="25" t="n"/>
      <c r="M96" s="25" t="n"/>
      <c r="N96" s="25" t="n"/>
      <c r="O96" s="27" t="n"/>
      <c r="P96" s="27" t="n"/>
      <c r="Q96" s="25">
        <f>IF(AND(J96&lt;&gt;"",L96&lt;&gt;"Yes",N96&lt;&gt;"Closed won",N96&lt;&gt;"Closed lost",N96&lt;&gt;"No response",N96&lt;&gt;"Skipped",TODAY()-J96&gt;=3),"Follow up","")</f>
        <v/>
      </c>
      <c r="R96" s="25" t="n"/>
    </row>
    <row r="97">
      <c r="A97" s="6" t="n">
        <v>96</v>
      </c>
      <c r="B97" s="25" t="n"/>
      <c r="C97" s="25" t="n"/>
      <c r="D97" s="25" t="n"/>
      <c r="E97" s="25" t="n"/>
      <c r="F97" s="25" t="n"/>
      <c r="G97" s="25" t="n"/>
      <c r="H97" s="25" t="n"/>
      <c r="I97" s="25" t="n"/>
      <c r="J97" s="26" t="n"/>
      <c r="K97" s="25" t="n"/>
      <c r="L97" s="25" t="n"/>
      <c r="M97" s="25" t="n"/>
      <c r="N97" s="25" t="n"/>
      <c r="O97" s="27" t="n"/>
      <c r="P97" s="27" t="n"/>
      <c r="Q97" s="25">
        <f>IF(AND(J97&lt;&gt;"",L97&lt;&gt;"Yes",N97&lt;&gt;"Closed won",N97&lt;&gt;"Closed lost",N97&lt;&gt;"No response",N97&lt;&gt;"Skipped",TODAY()-J97&gt;=3),"Follow up","")</f>
        <v/>
      </c>
      <c r="R97" s="25" t="n"/>
    </row>
    <row r="98">
      <c r="A98" s="6" t="n">
        <v>97</v>
      </c>
      <c r="B98" s="25" t="n"/>
      <c r="C98" s="25" t="n"/>
      <c r="D98" s="25" t="n"/>
      <c r="E98" s="25" t="n"/>
      <c r="F98" s="25" t="n"/>
      <c r="G98" s="25" t="n"/>
      <c r="H98" s="25" t="n"/>
      <c r="I98" s="25" t="n"/>
      <c r="J98" s="26" t="n"/>
      <c r="K98" s="25" t="n"/>
      <c r="L98" s="25" t="n"/>
      <c r="M98" s="25" t="n"/>
      <c r="N98" s="25" t="n"/>
      <c r="O98" s="27" t="n"/>
      <c r="P98" s="27" t="n"/>
      <c r="Q98" s="25">
        <f>IF(AND(J98&lt;&gt;"",L98&lt;&gt;"Yes",N98&lt;&gt;"Closed won",N98&lt;&gt;"Closed lost",N98&lt;&gt;"No response",N98&lt;&gt;"Skipped",TODAY()-J98&gt;=3),"Follow up","")</f>
        <v/>
      </c>
      <c r="R98" s="25" t="n"/>
    </row>
    <row r="99">
      <c r="A99" s="6" t="n">
        <v>98</v>
      </c>
      <c r="B99" s="25" t="n"/>
      <c r="C99" s="25" t="n"/>
      <c r="D99" s="25" t="n"/>
      <c r="E99" s="25" t="n"/>
      <c r="F99" s="25" t="n"/>
      <c r="G99" s="25" t="n"/>
      <c r="H99" s="25" t="n"/>
      <c r="I99" s="25" t="n"/>
      <c r="J99" s="26" t="n"/>
      <c r="K99" s="25" t="n"/>
      <c r="L99" s="25" t="n"/>
      <c r="M99" s="25" t="n"/>
      <c r="N99" s="25" t="n"/>
      <c r="O99" s="27" t="n"/>
      <c r="P99" s="27" t="n"/>
      <c r="Q99" s="25">
        <f>IF(AND(J99&lt;&gt;"",L99&lt;&gt;"Yes",N99&lt;&gt;"Closed won",N99&lt;&gt;"Closed lost",N99&lt;&gt;"No response",N99&lt;&gt;"Skipped",TODAY()-J99&gt;=3),"Follow up","")</f>
        <v/>
      </c>
      <c r="R99" s="25" t="n"/>
    </row>
    <row r="100">
      <c r="A100" s="6" t="n">
        <v>99</v>
      </c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6" t="n"/>
      <c r="K100" s="25" t="n"/>
      <c r="L100" s="25" t="n"/>
      <c r="M100" s="25" t="n"/>
      <c r="N100" s="25" t="n"/>
      <c r="O100" s="27" t="n"/>
      <c r="P100" s="27" t="n"/>
      <c r="Q100" s="25">
        <f>IF(AND(J100&lt;&gt;"",L100&lt;&gt;"Yes",N100&lt;&gt;"Closed won",N100&lt;&gt;"Closed lost",N100&lt;&gt;"No response",N100&lt;&gt;"Skipped",TODAY()-J100&gt;=3),"Follow up","")</f>
        <v/>
      </c>
      <c r="R100" s="25" t="n"/>
    </row>
    <row r="101">
      <c r="A101" s="6" t="n">
        <v>100</v>
      </c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6" t="n"/>
      <c r="K101" s="25" t="n"/>
      <c r="L101" s="25" t="n"/>
      <c r="M101" s="25" t="n"/>
      <c r="N101" s="25" t="n"/>
      <c r="O101" s="27" t="n"/>
      <c r="P101" s="27" t="n"/>
      <c r="Q101" s="25">
        <f>IF(AND(J101&lt;&gt;"",L101&lt;&gt;"Yes",N101&lt;&gt;"Closed won",N101&lt;&gt;"Closed lost",N101&lt;&gt;"No response",N101&lt;&gt;"Skipped",TODAY()-J101&gt;=3),"Follow up","")</f>
        <v/>
      </c>
      <c r="R101" s="25" t="n"/>
    </row>
    <row r="102">
      <c r="A102" s="6" t="n">
        <v>101</v>
      </c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6" t="n"/>
      <c r="K102" s="25" t="n"/>
      <c r="L102" s="25" t="n"/>
      <c r="M102" s="25" t="n"/>
      <c r="N102" s="25" t="n"/>
      <c r="O102" s="27" t="n"/>
      <c r="P102" s="27" t="n"/>
      <c r="Q102" s="25">
        <f>IF(AND(J102&lt;&gt;"",L102&lt;&gt;"Yes",N102&lt;&gt;"Closed won",N102&lt;&gt;"Closed lost",N102&lt;&gt;"No response",N102&lt;&gt;"Skipped",TODAY()-J102&gt;=3),"Follow up","")</f>
        <v/>
      </c>
      <c r="R102" s="25" t="n"/>
    </row>
    <row r="103">
      <c r="A103" s="6" t="n">
        <v>102</v>
      </c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6" t="n"/>
      <c r="K103" s="25" t="n"/>
      <c r="L103" s="25" t="n"/>
      <c r="M103" s="25" t="n"/>
      <c r="N103" s="25" t="n"/>
      <c r="O103" s="27" t="n"/>
      <c r="P103" s="27" t="n"/>
      <c r="Q103" s="25">
        <f>IF(AND(J103&lt;&gt;"",L103&lt;&gt;"Yes",N103&lt;&gt;"Closed won",N103&lt;&gt;"Closed lost",N103&lt;&gt;"No response",N103&lt;&gt;"Skipped",TODAY()-J103&gt;=3),"Follow up","")</f>
        <v/>
      </c>
      <c r="R103" s="25" t="n"/>
    </row>
    <row r="104">
      <c r="A104" s="6" t="n">
        <v>103</v>
      </c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6" t="n"/>
      <c r="K104" s="25" t="n"/>
      <c r="L104" s="25" t="n"/>
      <c r="M104" s="25" t="n"/>
      <c r="N104" s="25" t="n"/>
      <c r="O104" s="27" t="n"/>
      <c r="P104" s="27" t="n"/>
      <c r="Q104" s="25">
        <f>IF(AND(J104&lt;&gt;"",L104&lt;&gt;"Yes",N104&lt;&gt;"Closed won",N104&lt;&gt;"Closed lost",N104&lt;&gt;"No response",N104&lt;&gt;"Skipped",TODAY()-J104&gt;=3),"Follow up","")</f>
        <v/>
      </c>
      <c r="R104" s="25" t="n"/>
    </row>
    <row r="105">
      <c r="A105" s="6" t="n">
        <v>104</v>
      </c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6" t="n"/>
      <c r="K105" s="25" t="n"/>
      <c r="L105" s="25" t="n"/>
      <c r="M105" s="25" t="n"/>
      <c r="N105" s="25" t="n"/>
      <c r="O105" s="27" t="n"/>
      <c r="P105" s="27" t="n"/>
      <c r="Q105" s="25">
        <f>IF(AND(J105&lt;&gt;"",L105&lt;&gt;"Yes",N105&lt;&gt;"Closed won",N105&lt;&gt;"Closed lost",N105&lt;&gt;"No response",N105&lt;&gt;"Skipped",TODAY()-J105&gt;=3),"Follow up","")</f>
        <v/>
      </c>
      <c r="R105" s="25" t="n"/>
    </row>
    <row r="106">
      <c r="A106" s="6" t="n">
        <v>105</v>
      </c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6" t="n"/>
      <c r="K106" s="25" t="n"/>
      <c r="L106" s="25" t="n"/>
      <c r="M106" s="25" t="n"/>
      <c r="N106" s="25" t="n"/>
      <c r="O106" s="27" t="n"/>
      <c r="P106" s="27" t="n"/>
      <c r="Q106" s="25">
        <f>IF(AND(J106&lt;&gt;"",L106&lt;&gt;"Yes",N106&lt;&gt;"Closed won",N106&lt;&gt;"Closed lost",N106&lt;&gt;"No response",N106&lt;&gt;"Skipped",TODAY()-J106&gt;=3),"Follow up","")</f>
        <v/>
      </c>
      <c r="R106" s="25" t="n"/>
    </row>
    <row r="107">
      <c r="A107" s="6" t="n">
        <v>106</v>
      </c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6" t="n"/>
      <c r="K107" s="25" t="n"/>
      <c r="L107" s="25" t="n"/>
      <c r="M107" s="25" t="n"/>
      <c r="N107" s="25" t="n"/>
      <c r="O107" s="27" t="n"/>
      <c r="P107" s="27" t="n"/>
      <c r="Q107" s="25">
        <f>IF(AND(J107&lt;&gt;"",L107&lt;&gt;"Yes",N107&lt;&gt;"Closed won",N107&lt;&gt;"Closed lost",N107&lt;&gt;"No response",N107&lt;&gt;"Skipped",TODAY()-J107&gt;=3),"Follow up","")</f>
        <v/>
      </c>
      <c r="R107" s="25" t="n"/>
    </row>
    <row r="108">
      <c r="A108" s="6" t="n">
        <v>107</v>
      </c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6" t="n"/>
      <c r="K108" s="25" t="n"/>
      <c r="L108" s="25" t="n"/>
      <c r="M108" s="25" t="n"/>
      <c r="N108" s="25" t="n"/>
      <c r="O108" s="27" t="n"/>
      <c r="P108" s="27" t="n"/>
      <c r="Q108" s="25">
        <f>IF(AND(J108&lt;&gt;"",L108&lt;&gt;"Yes",N108&lt;&gt;"Closed won",N108&lt;&gt;"Closed lost",N108&lt;&gt;"No response",N108&lt;&gt;"Skipped",TODAY()-J108&gt;=3),"Follow up","")</f>
        <v/>
      </c>
      <c r="R108" s="25" t="n"/>
    </row>
    <row r="109">
      <c r="A109" s="6" t="n">
        <v>108</v>
      </c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6" t="n"/>
      <c r="K109" s="25" t="n"/>
      <c r="L109" s="25" t="n"/>
      <c r="M109" s="25" t="n"/>
      <c r="N109" s="25" t="n"/>
      <c r="O109" s="27" t="n"/>
      <c r="P109" s="27" t="n"/>
      <c r="Q109" s="25">
        <f>IF(AND(J109&lt;&gt;"",L109&lt;&gt;"Yes",N109&lt;&gt;"Closed won",N109&lt;&gt;"Closed lost",N109&lt;&gt;"No response",N109&lt;&gt;"Skipped",TODAY()-J109&gt;=3),"Follow up","")</f>
        <v/>
      </c>
      <c r="R109" s="25" t="n"/>
    </row>
    <row r="110">
      <c r="A110" s="6" t="n">
        <v>109</v>
      </c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6" t="n"/>
      <c r="K110" s="25" t="n"/>
      <c r="L110" s="25" t="n"/>
      <c r="M110" s="25" t="n"/>
      <c r="N110" s="25" t="n"/>
      <c r="O110" s="27" t="n"/>
      <c r="P110" s="27" t="n"/>
      <c r="Q110" s="25">
        <f>IF(AND(J110&lt;&gt;"",L110&lt;&gt;"Yes",N110&lt;&gt;"Closed won",N110&lt;&gt;"Closed lost",N110&lt;&gt;"No response",N110&lt;&gt;"Skipped",TODAY()-J110&gt;=3),"Follow up","")</f>
        <v/>
      </c>
      <c r="R110" s="25" t="n"/>
    </row>
    <row r="111">
      <c r="A111" s="6" t="n">
        <v>110</v>
      </c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6" t="n"/>
      <c r="K111" s="25" t="n"/>
      <c r="L111" s="25" t="n"/>
      <c r="M111" s="25" t="n"/>
      <c r="N111" s="25" t="n"/>
      <c r="O111" s="27" t="n"/>
      <c r="P111" s="27" t="n"/>
      <c r="Q111" s="25">
        <f>IF(AND(J111&lt;&gt;"",L111&lt;&gt;"Yes",N111&lt;&gt;"Closed won",N111&lt;&gt;"Closed lost",N111&lt;&gt;"No response",N111&lt;&gt;"Skipped",TODAY()-J111&gt;=3),"Follow up","")</f>
        <v/>
      </c>
      <c r="R111" s="25" t="n"/>
    </row>
    <row r="112">
      <c r="A112" s="6" t="n">
        <v>111</v>
      </c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6" t="n"/>
      <c r="K112" s="25" t="n"/>
      <c r="L112" s="25" t="n"/>
      <c r="M112" s="25" t="n"/>
      <c r="N112" s="25" t="n"/>
      <c r="O112" s="27" t="n"/>
      <c r="P112" s="27" t="n"/>
      <c r="Q112" s="25">
        <f>IF(AND(J112&lt;&gt;"",L112&lt;&gt;"Yes",N112&lt;&gt;"Closed won",N112&lt;&gt;"Closed lost",N112&lt;&gt;"No response",N112&lt;&gt;"Skipped",TODAY()-J112&gt;=3),"Follow up","")</f>
        <v/>
      </c>
      <c r="R112" s="25" t="n"/>
    </row>
    <row r="113">
      <c r="A113" s="6" t="n">
        <v>112</v>
      </c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6" t="n"/>
      <c r="K113" s="25" t="n"/>
      <c r="L113" s="25" t="n"/>
      <c r="M113" s="25" t="n"/>
      <c r="N113" s="25" t="n"/>
      <c r="O113" s="27" t="n"/>
      <c r="P113" s="27" t="n"/>
      <c r="Q113" s="25">
        <f>IF(AND(J113&lt;&gt;"",L113&lt;&gt;"Yes",N113&lt;&gt;"Closed won",N113&lt;&gt;"Closed lost",N113&lt;&gt;"No response",N113&lt;&gt;"Skipped",TODAY()-J113&gt;=3),"Follow up","")</f>
        <v/>
      </c>
      <c r="R113" s="25" t="n"/>
    </row>
    <row r="114">
      <c r="A114" s="6" t="n">
        <v>113</v>
      </c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6" t="n"/>
      <c r="K114" s="25" t="n"/>
      <c r="L114" s="25" t="n"/>
      <c r="M114" s="25" t="n"/>
      <c r="N114" s="25" t="n"/>
      <c r="O114" s="27" t="n"/>
      <c r="P114" s="27" t="n"/>
      <c r="Q114" s="25">
        <f>IF(AND(J114&lt;&gt;"",L114&lt;&gt;"Yes",N114&lt;&gt;"Closed won",N114&lt;&gt;"Closed lost",N114&lt;&gt;"No response",N114&lt;&gt;"Skipped",TODAY()-J114&gt;=3),"Follow up","")</f>
        <v/>
      </c>
      <c r="R114" s="25" t="n"/>
    </row>
    <row r="115">
      <c r="A115" s="6" t="n">
        <v>114</v>
      </c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6" t="n"/>
      <c r="K115" s="25" t="n"/>
      <c r="L115" s="25" t="n"/>
      <c r="M115" s="25" t="n"/>
      <c r="N115" s="25" t="n"/>
      <c r="O115" s="27" t="n"/>
      <c r="P115" s="27" t="n"/>
      <c r="Q115" s="25">
        <f>IF(AND(J115&lt;&gt;"",L115&lt;&gt;"Yes",N115&lt;&gt;"Closed won",N115&lt;&gt;"Closed lost",N115&lt;&gt;"No response",N115&lt;&gt;"Skipped",TODAY()-J115&gt;=3),"Follow up","")</f>
        <v/>
      </c>
      <c r="R115" s="25" t="n"/>
    </row>
    <row r="116">
      <c r="A116" s="6" t="n">
        <v>115</v>
      </c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6" t="n"/>
      <c r="K116" s="25" t="n"/>
      <c r="L116" s="25" t="n"/>
      <c r="M116" s="25" t="n"/>
      <c r="N116" s="25" t="n"/>
      <c r="O116" s="27" t="n"/>
      <c r="P116" s="27" t="n"/>
      <c r="Q116" s="25">
        <f>IF(AND(J116&lt;&gt;"",L116&lt;&gt;"Yes",N116&lt;&gt;"Closed won",N116&lt;&gt;"Closed lost",N116&lt;&gt;"No response",N116&lt;&gt;"Skipped",TODAY()-J116&gt;=3),"Follow up","")</f>
        <v/>
      </c>
      <c r="R116" s="25" t="n"/>
    </row>
    <row r="117">
      <c r="A117" s="6" t="n">
        <v>116</v>
      </c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6" t="n"/>
      <c r="K117" s="25" t="n"/>
      <c r="L117" s="25" t="n"/>
      <c r="M117" s="25" t="n"/>
      <c r="N117" s="25" t="n"/>
      <c r="O117" s="27" t="n"/>
      <c r="P117" s="27" t="n"/>
      <c r="Q117" s="25">
        <f>IF(AND(J117&lt;&gt;"",L117&lt;&gt;"Yes",N117&lt;&gt;"Closed won",N117&lt;&gt;"Closed lost",N117&lt;&gt;"No response",N117&lt;&gt;"Skipped",TODAY()-J117&gt;=3),"Follow up","")</f>
        <v/>
      </c>
      <c r="R117" s="25" t="n"/>
    </row>
    <row r="118">
      <c r="A118" s="6" t="n">
        <v>117</v>
      </c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6" t="n"/>
      <c r="K118" s="25" t="n"/>
      <c r="L118" s="25" t="n"/>
      <c r="M118" s="25" t="n"/>
      <c r="N118" s="25" t="n"/>
      <c r="O118" s="27" t="n"/>
      <c r="P118" s="27" t="n"/>
      <c r="Q118" s="25">
        <f>IF(AND(J118&lt;&gt;"",L118&lt;&gt;"Yes",N118&lt;&gt;"Closed won",N118&lt;&gt;"Closed lost",N118&lt;&gt;"No response",N118&lt;&gt;"Skipped",TODAY()-J118&gt;=3),"Follow up","")</f>
        <v/>
      </c>
      <c r="R118" s="25" t="n"/>
    </row>
    <row r="119">
      <c r="A119" s="6" t="n">
        <v>118</v>
      </c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6" t="n"/>
      <c r="K119" s="25" t="n"/>
      <c r="L119" s="25" t="n"/>
      <c r="M119" s="25" t="n"/>
      <c r="N119" s="25" t="n"/>
      <c r="O119" s="27" t="n"/>
      <c r="P119" s="27" t="n"/>
      <c r="Q119" s="25">
        <f>IF(AND(J119&lt;&gt;"",L119&lt;&gt;"Yes",N119&lt;&gt;"Closed won",N119&lt;&gt;"Closed lost",N119&lt;&gt;"No response",N119&lt;&gt;"Skipped",TODAY()-J119&gt;=3),"Follow up","")</f>
        <v/>
      </c>
      <c r="R119" s="25" t="n"/>
    </row>
    <row r="120">
      <c r="A120" s="6" t="n">
        <v>119</v>
      </c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6" t="n"/>
      <c r="K120" s="25" t="n"/>
      <c r="L120" s="25" t="n"/>
      <c r="M120" s="25" t="n"/>
      <c r="N120" s="25" t="n"/>
      <c r="O120" s="27" t="n"/>
      <c r="P120" s="27" t="n"/>
      <c r="Q120" s="25">
        <f>IF(AND(J120&lt;&gt;"",L120&lt;&gt;"Yes",N120&lt;&gt;"Closed won",N120&lt;&gt;"Closed lost",N120&lt;&gt;"No response",N120&lt;&gt;"Skipped",TODAY()-J120&gt;=3),"Follow up","")</f>
        <v/>
      </c>
      <c r="R120" s="25" t="n"/>
    </row>
    <row r="121">
      <c r="A121" s="6" t="n">
        <v>120</v>
      </c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6" t="n"/>
      <c r="K121" s="25" t="n"/>
      <c r="L121" s="25" t="n"/>
      <c r="M121" s="25" t="n"/>
      <c r="N121" s="25" t="n"/>
      <c r="O121" s="27" t="n"/>
      <c r="P121" s="27" t="n"/>
      <c r="Q121" s="25">
        <f>IF(AND(J121&lt;&gt;"",L121&lt;&gt;"Yes",N121&lt;&gt;"Closed won",N121&lt;&gt;"Closed lost",N121&lt;&gt;"No response",N121&lt;&gt;"Skipped",TODAY()-J121&gt;=3),"Follow up","")</f>
        <v/>
      </c>
      <c r="R121" s="25" t="n"/>
    </row>
    <row r="122">
      <c r="A122" s="6" t="n">
        <v>121</v>
      </c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6" t="n"/>
      <c r="K122" s="25" t="n"/>
      <c r="L122" s="25" t="n"/>
      <c r="M122" s="25" t="n"/>
      <c r="N122" s="25" t="n"/>
      <c r="O122" s="27" t="n"/>
      <c r="P122" s="27" t="n"/>
      <c r="Q122" s="25">
        <f>IF(AND(J122&lt;&gt;"",L122&lt;&gt;"Yes",N122&lt;&gt;"Closed won",N122&lt;&gt;"Closed lost",N122&lt;&gt;"No response",N122&lt;&gt;"Skipped",TODAY()-J122&gt;=3),"Follow up","")</f>
        <v/>
      </c>
      <c r="R122" s="25" t="n"/>
    </row>
    <row r="123">
      <c r="A123" s="6" t="n">
        <v>122</v>
      </c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6" t="n"/>
      <c r="K123" s="25" t="n"/>
      <c r="L123" s="25" t="n"/>
      <c r="M123" s="25" t="n"/>
      <c r="N123" s="25" t="n"/>
      <c r="O123" s="27" t="n"/>
      <c r="P123" s="27" t="n"/>
      <c r="Q123" s="25">
        <f>IF(AND(J123&lt;&gt;"",L123&lt;&gt;"Yes",N123&lt;&gt;"Closed won",N123&lt;&gt;"Closed lost",N123&lt;&gt;"No response",N123&lt;&gt;"Skipped",TODAY()-J123&gt;=3),"Follow up","")</f>
        <v/>
      </c>
      <c r="R123" s="25" t="n"/>
    </row>
    <row r="124">
      <c r="A124" s="6" t="n">
        <v>123</v>
      </c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6" t="n"/>
      <c r="K124" s="25" t="n"/>
      <c r="L124" s="25" t="n"/>
      <c r="M124" s="25" t="n"/>
      <c r="N124" s="25" t="n"/>
      <c r="O124" s="27" t="n"/>
      <c r="P124" s="27" t="n"/>
      <c r="Q124" s="25">
        <f>IF(AND(J124&lt;&gt;"",L124&lt;&gt;"Yes",N124&lt;&gt;"Closed won",N124&lt;&gt;"Closed lost",N124&lt;&gt;"No response",N124&lt;&gt;"Skipped",TODAY()-J124&gt;=3),"Follow up","")</f>
        <v/>
      </c>
      <c r="R124" s="25" t="n"/>
    </row>
    <row r="125">
      <c r="A125" s="6" t="n">
        <v>124</v>
      </c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6" t="n"/>
      <c r="K125" s="25" t="n"/>
      <c r="L125" s="25" t="n"/>
      <c r="M125" s="25" t="n"/>
      <c r="N125" s="25" t="n"/>
      <c r="O125" s="27" t="n"/>
      <c r="P125" s="27" t="n"/>
      <c r="Q125" s="25">
        <f>IF(AND(J125&lt;&gt;"",L125&lt;&gt;"Yes",N125&lt;&gt;"Closed won",N125&lt;&gt;"Closed lost",N125&lt;&gt;"No response",N125&lt;&gt;"Skipped",TODAY()-J125&gt;=3),"Follow up","")</f>
        <v/>
      </c>
      <c r="R125" s="25" t="n"/>
    </row>
    <row r="126">
      <c r="A126" s="6" t="n">
        <v>125</v>
      </c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6" t="n"/>
      <c r="K126" s="25" t="n"/>
      <c r="L126" s="25" t="n"/>
      <c r="M126" s="25" t="n"/>
      <c r="N126" s="25" t="n"/>
      <c r="O126" s="27" t="n"/>
      <c r="P126" s="27" t="n"/>
      <c r="Q126" s="25">
        <f>IF(AND(J126&lt;&gt;"",L126&lt;&gt;"Yes",N126&lt;&gt;"Closed won",N126&lt;&gt;"Closed lost",N126&lt;&gt;"No response",N126&lt;&gt;"Skipped",TODAY()-J126&gt;=3),"Follow up","")</f>
        <v/>
      </c>
      <c r="R126" s="25" t="n"/>
    </row>
    <row r="127">
      <c r="A127" s="6" t="n">
        <v>126</v>
      </c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6" t="n"/>
      <c r="K127" s="25" t="n"/>
      <c r="L127" s="25" t="n"/>
      <c r="M127" s="25" t="n"/>
      <c r="N127" s="25" t="n"/>
      <c r="O127" s="27" t="n"/>
      <c r="P127" s="27" t="n"/>
      <c r="Q127" s="25">
        <f>IF(AND(J127&lt;&gt;"",L127&lt;&gt;"Yes",N127&lt;&gt;"Closed won",N127&lt;&gt;"Closed lost",N127&lt;&gt;"No response",N127&lt;&gt;"Skipped",TODAY()-J127&gt;=3),"Follow up","")</f>
        <v/>
      </c>
      <c r="R127" s="25" t="n"/>
    </row>
    <row r="128">
      <c r="A128" s="6" t="n">
        <v>127</v>
      </c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6" t="n"/>
      <c r="K128" s="25" t="n"/>
      <c r="L128" s="25" t="n"/>
      <c r="M128" s="25" t="n"/>
      <c r="N128" s="25" t="n"/>
      <c r="O128" s="27" t="n"/>
      <c r="P128" s="27" t="n"/>
      <c r="Q128" s="25">
        <f>IF(AND(J128&lt;&gt;"",L128&lt;&gt;"Yes",N128&lt;&gt;"Closed won",N128&lt;&gt;"Closed lost",N128&lt;&gt;"No response",N128&lt;&gt;"Skipped",TODAY()-J128&gt;=3),"Follow up","")</f>
        <v/>
      </c>
      <c r="R128" s="25" t="n"/>
    </row>
    <row r="129">
      <c r="A129" s="6" t="n">
        <v>128</v>
      </c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6" t="n"/>
      <c r="K129" s="25" t="n"/>
      <c r="L129" s="25" t="n"/>
      <c r="M129" s="25" t="n"/>
      <c r="N129" s="25" t="n"/>
      <c r="O129" s="27" t="n"/>
      <c r="P129" s="27" t="n"/>
      <c r="Q129" s="25">
        <f>IF(AND(J129&lt;&gt;"",L129&lt;&gt;"Yes",N129&lt;&gt;"Closed won",N129&lt;&gt;"Closed lost",N129&lt;&gt;"No response",N129&lt;&gt;"Skipped",TODAY()-J129&gt;=3),"Follow up","")</f>
        <v/>
      </c>
      <c r="R129" s="25" t="n"/>
    </row>
    <row r="130">
      <c r="A130" s="6" t="n">
        <v>129</v>
      </c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6" t="n"/>
      <c r="K130" s="25" t="n"/>
      <c r="L130" s="25" t="n"/>
      <c r="M130" s="25" t="n"/>
      <c r="N130" s="25" t="n"/>
      <c r="O130" s="27" t="n"/>
      <c r="P130" s="27" t="n"/>
      <c r="Q130" s="25">
        <f>IF(AND(J130&lt;&gt;"",L130&lt;&gt;"Yes",N130&lt;&gt;"Closed won",N130&lt;&gt;"Closed lost",N130&lt;&gt;"No response",N130&lt;&gt;"Skipped",TODAY()-J130&gt;=3),"Follow up","")</f>
        <v/>
      </c>
      <c r="R130" s="25" t="n"/>
    </row>
    <row r="131">
      <c r="A131" s="6" t="n">
        <v>130</v>
      </c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6" t="n"/>
      <c r="K131" s="25" t="n"/>
      <c r="L131" s="25" t="n"/>
      <c r="M131" s="25" t="n"/>
      <c r="N131" s="25" t="n"/>
      <c r="O131" s="27" t="n"/>
      <c r="P131" s="27" t="n"/>
      <c r="Q131" s="25">
        <f>IF(AND(J131&lt;&gt;"",L131&lt;&gt;"Yes",N131&lt;&gt;"Closed won",N131&lt;&gt;"Closed lost",N131&lt;&gt;"No response",N131&lt;&gt;"Skipped",TODAY()-J131&gt;=3),"Follow up","")</f>
        <v/>
      </c>
      <c r="R131" s="25" t="n"/>
    </row>
    <row r="132">
      <c r="A132" s="6" t="n">
        <v>131</v>
      </c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6" t="n"/>
      <c r="K132" s="25" t="n"/>
      <c r="L132" s="25" t="n"/>
      <c r="M132" s="25" t="n"/>
      <c r="N132" s="25" t="n"/>
      <c r="O132" s="27" t="n"/>
      <c r="P132" s="27" t="n"/>
      <c r="Q132" s="25">
        <f>IF(AND(J132&lt;&gt;"",L132&lt;&gt;"Yes",N132&lt;&gt;"Closed won",N132&lt;&gt;"Closed lost",N132&lt;&gt;"No response",N132&lt;&gt;"Skipped",TODAY()-J132&gt;=3),"Follow up","")</f>
        <v/>
      </c>
      <c r="R132" s="25" t="n"/>
    </row>
    <row r="133">
      <c r="A133" s="6" t="n">
        <v>132</v>
      </c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6" t="n"/>
      <c r="K133" s="25" t="n"/>
      <c r="L133" s="25" t="n"/>
      <c r="M133" s="25" t="n"/>
      <c r="N133" s="25" t="n"/>
      <c r="O133" s="27" t="n"/>
      <c r="P133" s="27" t="n"/>
      <c r="Q133" s="25">
        <f>IF(AND(J133&lt;&gt;"",L133&lt;&gt;"Yes",N133&lt;&gt;"Closed won",N133&lt;&gt;"Closed lost",N133&lt;&gt;"No response",N133&lt;&gt;"Skipped",TODAY()-J133&gt;=3),"Follow up","")</f>
        <v/>
      </c>
      <c r="R133" s="25" t="n"/>
    </row>
    <row r="134">
      <c r="A134" s="6" t="n">
        <v>133</v>
      </c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6" t="n"/>
      <c r="K134" s="25" t="n"/>
      <c r="L134" s="25" t="n"/>
      <c r="M134" s="25" t="n"/>
      <c r="N134" s="25" t="n"/>
      <c r="O134" s="27" t="n"/>
      <c r="P134" s="27" t="n"/>
      <c r="Q134" s="25">
        <f>IF(AND(J134&lt;&gt;"",L134&lt;&gt;"Yes",N134&lt;&gt;"Closed won",N134&lt;&gt;"Closed lost",N134&lt;&gt;"No response",N134&lt;&gt;"Skipped",TODAY()-J134&gt;=3),"Follow up","")</f>
        <v/>
      </c>
      <c r="R134" s="25" t="n"/>
    </row>
    <row r="135">
      <c r="A135" s="6" t="n">
        <v>134</v>
      </c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6" t="n"/>
      <c r="K135" s="25" t="n"/>
      <c r="L135" s="25" t="n"/>
      <c r="M135" s="25" t="n"/>
      <c r="N135" s="25" t="n"/>
      <c r="O135" s="27" t="n"/>
      <c r="P135" s="27" t="n"/>
      <c r="Q135" s="25">
        <f>IF(AND(J135&lt;&gt;"",L135&lt;&gt;"Yes",N135&lt;&gt;"Closed won",N135&lt;&gt;"Closed lost",N135&lt;&gt;"No response",N135&lt;&gt;"Skipped",TODAY()-J135&gt;=3),"Follow up","")</f>
        <v/>
      </c>
      <c r="R135" s="25" t="n"/>
    </row>
    <row r="136">
      <c r="A136" s="6" t="n">
        <v>135</v>
      </c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6" t="n"/>
      <c r="K136" s="25" t="n"/>
      <c r="L136" s="25" t="n"/>
      <c r="M136" s="25" t="n"/>
      <c r="N136" s="25" t="n"/>
      <c r="O136" s="27" t="n"/>
      <c r="P136" s="27" t="n"/>
      <c r="Q136" s="25">
        <f>IF(AND(J136&lt;&gt;"",L136&lt;&gt;"Yes",N136&lt;&gt;"Closed won",N136&lt;&gt;"Closed lost",N136&lt;&gt;"No response",N136&lt;&gt;"Skipped",TODAY()-J136&gt;=3),"Follow up","")</f>
        <v/>
      </c>
      <c r="R136" s="25" t="n"/>
    </row>
    <row r="137">
      <c r="A137" s="6" t="n">
        <v>136</v>
      </c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6" t="n"/>
      <c r="K137" s="25" t="n"/>
      <c r="L137" s="25" t="n"/>
      <c r="M137" s="25" t="n"/>
      <c r="N137" s="25" t="n"/>
      <c r="O137" s="27" t="n"/>
      <c r="P137" s="27" t="n"/>
      <c r="Q137" s="25">
        <f>IF(AND(J137&lt;&gt;"",L137&lt;&gt;"Yes",N137&lt;&gt;"Closed won",N137&lt;&gt;"Closed lost",N137&lt;&gt;"No response",N137&lt;&gt;"Skipped",TODAY()-J137&gt;=3),"Follow up","")</f>
        <v/>
      </c>
      <c r="R137" s="25" t="n"/>
    </row>
    <row r="138">
      <c r="A138" s="6" t="n">
        <v>137</v>
      </c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6" t="n"/>
      <c r="K138" s="25" t="n"/>
      <c r="L138" s="25" t="n"/>
      <c r="M138" s="25" t="n"/>
      <c r="N138" s="25" t="n"/>
      <c r="O138" s="27" t="n"/>
      <c r="P138" s="27" t="n"/>
      <c r="Q138" s="25">
        <f>IF(AND(J138&lt;&gt;"",L138&lt;&gt;"Yes",N138&lt;&gt;"Closed won",N138&lt;&gt;"Closed lost",N138&lt;&gt;"No response",N138&lt;&gt;"Skipped",TODAY()-J138&gt;=3),"Follow up","")</f>
        <v/>
      </c>
      <c r="R138" s="25" t="n"/>
    </row>
    <row r="139">
      <c r="A139" s="6" t="n">
        <v>138</v>
      </c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6" t="n"/>
      <c r="K139" s="25" t="n"/>
      <c r="L139" s="25" t="n"/>
      <c r="M139" s="25" t="n"/>
      <c r="N139" s="25" t="n"/>
      <c r="O139" s="27" t="n"/>
      <c r="P139" s="27" t="n"/>
      <c r="Q139" s="25">
        <f>IF(AND(J139&lt;&gt;"",L139&lt;&gt;"Yes",N139&lt;&gt;"Closed won",N139&lt;&gt;"Closed lost",N139&lt;&gt;"No response",N139&lt;&gt;"Skipped",TODAY()-J139&gt;=3),"Follow up","")</f>
        <v/>
      </c>
      <c r="R139" s="25" t="n"/>
    </row>
    <row r="140">
      <c r="A140" s="6" t="n">
        <v>139</v>
      </c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6" t="n"/>
      <c r="K140" s="25" t="n"/>
      <c r="L140" s="25" t="n"/>
      <c r="M140" s="25" t="n"/>
      <c r="N140" s="25" t="n"/>
      <c r="O140" s="27" t="n"/>
      <c r="P140" s="27" t="n"/>
      <c r="Q140" s="25">
        <f>IF(AND(J140&lt;&gt;"",L140&lt;&gt;"Yes",N140&lt;&gt;"Closed won",N140&lt;&gt;"Closed lost",N140&lt;&gt;"No response",N140&lt;&gt;"Skipped",TODAY()-J140&gt;=3),"Follow up","")</f>
        <v/>
      </c>
      <c r="R140" s="25" t="n"/>
    </row>
    <row r="141">
      <c r="A141" s="6" t="n">
        <v>140</v>
      </c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6" t="n"/>
      <c r="K141" s="25" t="n"/>
      <c r="L141" s="25" t="n"/>
      <c r="M141" s="25" t="n"/>
      <c r="N141" s="25" t="n"/>
      <c r="O141" s="27" t="n"/>
      <c r="P141" s="27" t="n"/>
      <c r="Q141" s="25">
        <f>IF(AND(J141&lt;&gt;"",L141&lt;&gt;"Yes",N141&lt;&gt;"Closed won",N141&lt;&gt;"Closed lost",N141&lt;&gt;"No response",N141&lt;&gt;"Skipped",TODAY()-J141&gt;=3),"Follow up","")</f>
        <v/>
      </c>
      <c r="R141" s="25" t="n"/>
    </row>
    <row r="142">
      <c r="A142" s="6" t="n">
        <v>141</v>
      </c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6" t="n"/>
      <c r="K142" s="25" t="n"/>
      <c r="L142" s="25" t="n"/>
      <c r="M142" s="25" t="n"/>
      <c r="N142" s="25" t="n"/>
      <c r="O142" s="27" t="n"/>
      <c r="P142" s="27" t="n"/>
      <c r="Q142" s="25">
        <f>IF(AND(J142&lt;&gt;"",L142&lt;&gt;"Yes",N142&lt;&gt;"Closed won",N142&lt;&gt;"Closed lost",N142&lt;&gt;"No response",N142&lt;&gt;"Skipped",TODAY()-J142&gt;=3),"Follow up","")</f>
        <v/>
      </c>
      <c r="R142" s="25" t="n"/>
    </row>
    <row r="143">
      <c r="A143" s="6" t="n">
        <v>142</v>
      </c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6" t="n"/>
      <c r="K143" s="25" t="n"/>
      <c r="L143" s="25" t="n"/>
      <c r="M143" s="25" t="n"/>
      <c r="N143" s="25" t="n"/>
      <c r="O143" s="27" t="n"/>
      <c r="P143" s="27" t="n"/>
      <c r="Q143" s="25">
        <f>IF(AND(J143&lt;&gt;"",L143&lt;&gt;"Yes",N143&lt;&gt;"Closed won",N143&lt;&gt;"Closed lost",N143&lt;&gt;"No response",N143&lt;&gt;"Skipped",TODAY()-J143&gt;=3),"Follow up","")</f>
        <v/>
      </c>
      <c r="R143" s="25" t="n"/>
    </row>
    <row r="144">
      <c r="A144" s="6" t="n">
        <v>143</v>
      </c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6" t="n"/>
      <c r="K144" s="25" t="n"/>
      <c r="L144" s="25" t="n"/>
      <c r="M144" s="25" t="n"/>
      <c r="N144" s="25" t="n"/>
      <c r="O144" s="27" t="n"/>
      <c r="P144" s="27" t="n"/>
      <c r="Q144" s="25">
        <f>IF(AND(J144&lt;&gt;"",L144&lt;&gt;"Yes",N144&lt;&gt;"Closed won",N144&lt;&gt;"Closed lost",N144&lt;&gt;"No response",N144&lt;&gt;"Skipped",TODAY()-J144&gt;=3),"Follow up","")</f>
        <v/>
      </c>
      <c r="R144" s="25" t="n"/>
    </row>
    <row r="145">
      <c r="A145" s="6" t="n">
        <v>144</v>
      </c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6" t="n"/>
      <c r="K145" s="25" t="n"/>
      <c r="L145" s="25" t="n"/>
      <c r="M145" s="25" t="n"/>
      <c r="N145" s="25" t="n"/>
      <c r="O145" s="27" t="n"/>
      <c r="P145" s="27" t="n"/>
      <c r="Q145" s="25">
        <f>IF(AND(J145&lt;&gt;"",L145&lt;&gt;"Yes",N145&lt;&gt;"Closed won",N145&lt;&gt;"Closed lost",N145&lt;&gt;"No response",N145&lt;&gt;"Skipped",TODAY()-J145&gt;=3),"Follow up","")</f>
        <v/>
      </c>
      <c r="R145" s="25" t="n"/>
    </row>
    <row r="146">
      <c r="A146" s="6" t="n">
        <v>145</v>
      </c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6" t="n"/>
      <c r="K146" s="25" t="n"/>
      <c r="L146" s="25" t="n"/>
      <c r="M146" s="25" t="n"/>
      <c r="N146" s="25" t="n"/>
      <c r="O146" s="27" t="n"/>
      <c r="P146" s="27" t="n"/>
      <c r="Q146" s="25">
        <f>IF(AND(J146&lt;&gt;"",L146&lt;&gt;"Yes",N146&lt;&gt;"Closed won",N146&lt;&gt;"Closed lost",N146&lt;&gt;"No response",N146&lt;&gt;"Skipped",TODAY()-J146&gt;=3),"Follow up","")</f>
        <v/>
      </c>
      <c r="R146" s="25" t="n"/>
    </row>
    <row r="147">
      <c r="A147" s="6" t="n">
        <v>146</v>
      </c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6" t="n"/>
      <c r="K147" s="25" t="n"/>
      <c r="L147" s="25" t="n"/>
      <c r="M147" s="25" t="n"/>
      <c r="N147" s="25" t="n"/>
      <c r="O147" s="27" t="n"/>
      <c r="P147" s="27" t="n"/>
      <c r="Q147" s="25">
        <f>IF(AND(J147&lt;&gt;"",L147&lt;&gt;"Yes",N147&lt;&gt;"Closed won",N147&lt;&gt;"Closed lost",N147&lt;&gt;"No response",N147&lt;&gt;"Skipped",TODAY()-J147&gt;=3),"Follow up","")</f>
        <v/>
      </c>
      <c r="R147" s="25" t="n"/>
    </row>
    <row r="148">
      <c r="A148" s="6" t="n">
        <v>147</v>
      </c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6" t="n"/>
      <c r="K148" s="25" t="n"/>
      <c r="L148" s="25" t="n"/>
      <c r="M148" s="25" t="n"/>
      <c r="N148" s="25" t="n"/>
      <c r="O148" s="27" t="n"/>
      <c r="P148" s="27" t="n"/>
      <c r="Q148" s="25">
        <f>IF(AND(J148&lt;&gt;"",L148&lt;&gt;"Yes",N148&lt;&gt;"Closed won",N148&lt;&gt;"Closed lost",N148&lt;&gt;"No response",N148&lt;&gt;"Skipped",TODAY()-J148&gt;=3),"Follow up","")</f>
        <v/>
      </c>
      <c r="R148" s="25" t="n"/>
    </row>
    <row r="149">
      <c r="A149" s="6" t="n">
        <v>148</v>
      </c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6" t="n"/>
      <c r="K149" s="25" t="n"/>
      <c r="L149" s="25" t="n"/>
      <c r="M149" s="25" t="n"/>
      <c r="N149" s="25" t="n"/>
      <c r="O149" s="27" t="n"/>
      <c r="P149" s="27" t="n"/>
      <c r="Q149" s="25">
        <f>IF(AND(J149&lt;&gt;"",L149&lt;&gt;"Yes",N149&lt;&gt;"Closed won",N149&lt;&gt;"Closed lost",N149&lt;&gt;"No response",N149&lt;&gt;"Skipped",TODAY()-J149&gt;=3),"Follow up","")</f>
        <v/>
      </c>
      <c r="R149" s="25" t="n"/>
    </row>
    <row r="150">
      <c r="A150" s="6" t="n">
        <v>149</v>
      </c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6" t="n"/>
      <c r="K150" s="25" t="n"/>
      <c r="L150" s="25" t="n"/>
      <c r="M150" s="25" t="n"/>
      <c r="N150" s="25" t="n"/>
      <c r="O150" s="27" t="n"/>
      <c r="P150" s="27" t="n"/>
      <c r="Q150" s="25">
        <f>IF(AND(J150&lt;&gt;"",L150&lt;&gt;"Yes",N150&lt;&gt;"Closed won",N150&lt;&gt;"Closed lost",N150&lt;&gt;"No response",N150&lt;&gt;"Skipped",TODAY()-J150&gt;=3),"Follow up","")</f>
        <v/>
      </c>
      <c r="R150" s="25" t="n"/>
    </row>
    <row r="151">
      <c r="A151" s="6" t="n">
        <v>150</v>
      </c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6" t="n"/>
      <c r="K151" s="25" t="n"/>
      <c r="L151" s="25" t="n"/>
      <c r="M151" s="25" t="n"/>
      <c r="N151" s="25" t="n"/>
      <c r="O151" s="27" t="n"/>
      <c r="P151" s="27" t="n"/>
      <c r="Q151" s="25">
        <f>IF(AND(J151&lt;&gt;"",L151&lt;&gt;"Yes",N151&lt;&gt;"Closed won",N151&lt;&gt;"Closed lost",N151&lt;&gt;"No response",N151&lt;&gt;"Skipped",TODAY()-J151&gt;=3),"Follow up","")</f>
        <v/>
      </c>
      <c r="R151" s="25" t="n"/>
    </row>
    <row r="152">
      <c r="A152" s="6" t="n">
        <v>151</v>
      </c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6" t="n"/>
      <c r="K152" s="25" t="n"/>
      <c r="L152" s="25" t="n"/>
      <c r="M152" s="25" t="n"/>
      <c r="N152" s="25" t="n"/>
      <c r="O152" s="27" t="n"/>
      <c r="P152" s="27" t="n"/>
      <c r="Q152" s="25">
        <f>IF(AND(J152&lt;&gt;"",L152&lt;&gt;"Yes",N152&lt;&gt;"Closed won",N152&lt;&gt;"Closed lost",N152&lt;&gt;"No response",N152&lt;&gt;"Skipped",TODAY()-J152&gt;=3),"Follow up","")</f>
        <v/>
      </c>
      <c r="R152" s="25" t="n"/>
    </row>
    <row r="153">
      <c r="A153" s="6" t="n">
        <v>152</v>
      </c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6" t="n"/>
      <c r="K153" s="25" t="n"/>
      <c r="L153" s="25" t="n"/>
      <c r="M153" s="25" t="n"/>
      <c r="N153" s="25" t="n"/>
      <c r="O153" s="27" t="n"/>
      <c r="P153" s="27" t="n"/>
      <c r="Q153" s="25">
        <f>IF(AND(J153&lt;&gt;"",L153&lt;&gt;"Yes",N153&lt;&gt;"Closed won",N153&lt;&gt;"Closed lost",N153&lt;&gt;"No response",N153&lt;&gt;"Skipped",TODAY()-J153&gt;=3),"Follow up","")</f>
        <v/>
      </c>
      <c r="R153" s="25" t="n"/>
    </row>
    <row r="154">
      <c r="A154" s="6" t="n">
        <v>153</v>
      </c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6" t="n"/>
      <c r="K154" s="25" t="n"/>
      <c r="L154" s="25" t="n"/>
      <c r="M154" s="25" t="n"/>
      <c r="N154" s="25" t="n"/>
      <c r="O154" s="27" t="n"/>
      <c r="P154" s="27" t="n"/>
      <c r="Q154" s="25">
        <f>IF(AND(J154&lt;&gt;"",L154&lt;&gt;"Yes",N154&lt;&gt;"Closed won",N154&lt;&gt;"Closed lost",N154&lt;&gt;"No response",N154&lt;&gt;"Skipped",TODAY()-J154&gt;=3),"Follow up","")</f>
        <v/>
      </c>
      <c r="R154" s="25" t="n"/>
    </row>
    <row r="155">
      <c r="A155" s="6" t="n">
        <v>154</v>
      </c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6" t="n"/>
      <c r="K155" s="25" t="n"/>
      <c r="L155" s="25" t="n"/>
      <c r="M155" s="25" t="n"/>
      <c r="N155" s="25" t="n"/>
      <c r="O155" s="27" t="n"/>
      <c r="P155" s="27" t="n"/>
      <c r="Q155" s="25">
        <f>IF(AND(J155&lt;&gt;"",L155&lt;&gt;"Yes",N155&lt;&gt;"Closed won",N155&lt;&gt;"Closed lost",N155&lt;&gt;"No response",N155&lt;&gt;"Skipped",TODAY()-J155&gt;=3),"Follow up","")</f>
        <v/>
      </c>
      <c r="R155" s="25" t="n"/>
    </row>
    <row r="156">
      <c r="A156" s="6" t="n">
        <v>155</v>
      </c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6" t="n"/>
      <c r="K156" s="25" t="n"/>
      <c r="L156" s="25" t="n"/>
      <c r="M156" s="25" t="n"/>
      <c r="N156" s="25" t="n"/>
      <c r="O156" s="27" t="n"/>
      <c r="P156" s="27" t="n"/>
      <c r="Q156" s="25">
        <f>IF(AND(J156&lt;&gt;"",L156&lt;&gt;"Yes",N156&lt;&gt;"Closed won",N156&lt;&gt;"Closed lost",N156&lt;&gt;"No response",N156&lt;&gt;"Skipped",TODAY()-J156&gt;=3),"Follow up","")</f>
        <v/>
      </c>
      <c r="R156" s="25" t="n"/>
    </row>
    <row r="157">
      <c r="A157" s="6" t="n">
        <v>156</v>
      </c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6" t="n"/>
      <c r="K157" s="25" t="n"/>
      <c r="L157" s="25" t="n"/>
      <c r="M157" s="25" t="n"/>
      <c r="N157" s="25" t="n"/>
      <c r="O157" s="27" t="n"/>
      <c r="P157" s="27" t="n"/>
      <c r="Q157" s="25">
        <f>IF(AND(J157&lt;&gt;"",L157&lt;&gt;"Yes",N157&lt;&gt;"Closed won",N157&lt;&gt;"Closed lost",N157&lt;&gt;"No response",N157&lt;&gt;"Skipped",TODAY()-J157&gt;=3),"Follow up","")</f>
        <v/>
      </c>
      <c r="R157" s="25" t="n"/>
    </row>
    <row r="158">
      <c r="A158" s="6" t="n">
        <v>157</v>
      </c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6" t="n"/>
      <c r="K158" s="25" t="n"/>
      <c r="L158" s="25" t="n"/>
      <c r="M158" s="25" t="n"/>
      <c r="N158" s="25" t="n"/>
      <c r="O158" s="27" t="n"/>
      <c r="P158" s="27" t="n"/>
      <c r="Q158" s="25">
        <f>IF(AND(J158&lt;&gt;"",L158&lt;&gt;"Yes",N158&lt;&gt;"Closed won",N158&lt;&gt;"Closed lost",N158&lt;&gt;"No response",N158&lt;&gt;"Skipped",TODAY()-J158&gt;=3),"Follow up","")</f>
        <v/>
      </c>
      <c r="R158" s="25" t="n"/>
    </row>
    <row r="159">
      <c r="A159" s="6" t="n">
        <v>158</v>
      </c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6" t="n"/>
      <c r="K159" s="25" t="n"/>
      <c r="L159" s="25" t="n"/>
      <c r="M159" s="25" t="n"/>
      <c r="N159" s="25" t="n"/>
      <c r="O159" s="27" t="n"/>
      <c r="P159" s="27" t="n"/>
      <c r="Q159" s="25">
        <f>IF(AND(J159&lt;&gt;"",L159&lt;&gt;"Yes",N159&lt;&gt;"Closed won",N159&lt;&gt;"Closed lost",N159&lt;&gt;"No response",N159&lt;&gt;"Skipped",TODAY()-J159&gt;=3),"Follow up","")</f>
        <v/>
      </c>
      <c r="R159" s="25" t="n"/>
    </row>
    <row r="160">
      <c r="A160" s="6" t="n">
        <v>159</v>
      </c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6" t="n"/>
      <c r="K160" s="25" t="n"/>
      <c r="L160" s="25" t="n"/>
      <c r="M160" s="25" t="n"/>
      <c r="N160" s="25" t="n"/>
      <c r="O160" s="27" t="n"/>
      <c r="P160" s="27" t="n"/>
      <c r="Q160" s="25">
        <f>IF(AND(J160&lt;&gt;"",L160&lt;&gt;"Yes",N160&lt;&gt;"Closed won",N160&lt;&gt;"Closed lost",N160&lt;&gt;"No response",N160&lt;&gt;"Skipped",TODAY()-J160&gt;=3),"Follow up","")</f>
        <v/>
      </c>
      <c r="R160" s="25" t="n"/>
    </row>
    <row r="161">
      <c r="A161" s="6" t="n">
        <v>160</v>
      </c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6" t="n"/>
      <c r="K161" s="25" t="n"/>
      <c r="L161" s="25" t="n"/>
      <c r="M161" s="25" t="n"/>
      <c r="N161" s="25" t="n"/>
      <c r="O161" s="27" t="n"/>
      <c r="P161" s="27" t="n"/>
      <c r="Q161" s="25">
        <f>IF(AND(J161&lt;&gt;"",L161&lt;&gt;"Yes",N161&lt;&gt;"Closed won",N161&lt;&gt;"Closed lost",N161&lt;&gt;"No response",N161&lt;&gt;"Skipped",TODAY()-J161&gt;=3),"Follow up","")</f>
        <v/>
      </c>
      <c r="R161" s="25" t="n"/>
    </row>
    <row r="162">
      <c r="A162" s="6" t="n">
        <v>161</v>
      </c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6" t="n"/>
      <c r="K162" s="25" t="n"/>
      <c r="L162" s="25" t="n"/>
      <c r="M162" s="25" t="n"/>
      <c r="N162" s="25" t="n"/>
      <c r="O162" s="27" t="n"/>
      <c r="P162" s="27" t="n"/>
      <c r="Q162" s="25">
        <f>IF(AND(J162&lt;&gt;"",L162&lt;&gt;"Yes",N162&lt;&gt;"Closed won",N162&lt;&gt;"Closed lost",N162&lt;&gt;"No response",N162&lt;&gt;"Skipped",TODAY()-J162&gt;=3),"Follow up","")</f>
        <v/>
      </c>
      <c r="R162" s="25" t="n"/>
    </row>
    <row r="163">
      <c r="A163" s="6" t="n">
        <v>162</v>
      </c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6" t="n"/>
      <c r="K163" s="25" t="n"/>
      <c r="L163" s="25" t="n"/>
      <c r="M163" s="25" t="n"/>
      <c r="N163" s="25" t="n"/>
      <c r="O163" s="27" t="n"/>
      <c r="P163" s="27" t="n"/>
      <c r="Q163" s="25">
        <f>IF(AND(J163&lt;&gt;"",L163&lt;&gt;"Yes",N163&lt;&gt;"Closed won",N163&lt;&gt;"Closed lost",N163&lt;&gt;"No response",N163&lt;&gt;"Skipped",TODAY()-J163&gt;=3),"Follow up","")</f>
        <v/>
      </c>
      <c r="R163" s="25" t="n"/>
    </row>
    <row r="164">
      <c r="A164" s="6" t="n">
        <v>163</v>
      </c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6" t="n"/>
      <c r="K164" s="25" t="n"/>
      <c r="L164" s="25" t="n"/>
      <c r="M164" s="25" t="n"/>
      <c r="N164" s="25" t="n"/>
      <c r="O164" s="27" t="n"/>
      <c r="P164" s="27" t="n"/>
      <c r="Q164" s="25">
        <f>IF(AND(J164&lt;&gt;"",L164&lt;&gt;"Yes",N164&lt;&gt;"Closed won",N164&lt;&gt;"Closed lost",N164&lt;&gt;"No response",N164&lt;&gt;"Skipped",TODAY()-J164&gt;=3),"Follow up","")</f>
        <v/>
      </c>
      <c r="R164" s="25" t="n"/>
    </row>
    <row r="165">
      <c r="A165" s="6" t="n">
        <v>164</v>
      </c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6" t="n"/>
      <c r="K165" s="25" t="n"/>
      <c r="L165" s="25" t="n"/>
      <c r="M165" s="25" t="n"/>
      <c r="N165" s="25" t="n"/>
      <c r="O165" s="27" t="n"/>
      <c r="P165" s="27" t="n"/>
      <c r="Q165" s="25">
        <f>IF(AND(J165&lt;&gt;"",L165&lt;&gt;"Yes",N165&lt;&gt;"Closed won",N165&lt;&gt;"Closed lost",N165&lt;&gt;"No response",N165&lt;&gt;"Skipped",TODAY()-J165&gt;=3),"Follow up","")</f>
        <v/>
      </c>
      <c r="R165" s="25" t="n"/>
    </row>
    <row r="166">
      <c r="A166" s="6" t="n">
        <v>165</v>
      </c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6" t="n"/>
      <c r="K166" s="25" t="n"/>
      <c r="L166" s="25" t="n"/>
      <c r="M166" s="25" t="n"/>
      <c r="N166" s="25" t="n"/>
      <c r="O166" s="27" t="n"/>
      <c r="P166" s="27" t="n"/>
      <c r="Q166" s="25">
        <f>IF(AND(J166&lt;&gt;"",L166&lt;&gt;"Yes",N166&lt;&gt;"Closed won",N166&lt;&gt;"Closed lost",N166&lt;&gt;"No response",N166&lt;&gt;"Skipped",TODAY()-J166&gt;=3),"Follow up","")</f>
        <v/>
      </c>
      <c r="R166" s="25" t="n"/>
    </row>
    <row r="167">
      <c r="A167" s="6" t="n">
        <v>166</v>
      </c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6" t="n"/>
      <c r="K167" s="25" t="n"/>
      <c r="L167" s="25" t="n"/>
      <c r="M167" s="25" t="n"/>
      <c r="N167" s="25" t="n"/>
      <c r="O167" s="27" t="n"/>
      <c r="P167" s="27" t="n"/>
      <c r="Q167" s="25">
        <f>IF(AND(J167&lt;&gt;"",L167&lt;&gt;"Yes",N167&lt;&gt;"Closed won",N167&lt;&gt;"Closed lost",N167&lt;&gt;"No response",N167&lt;&gt;"Skipped",TODAY()-J167&gt;=3),"Follow up","")</f>
        <v/>
      </c>
      <c r="R167" s="25" t="n"/>
    </row>
    <row r="168">
      <c r="A168" s="6" t="n">
        <v>167</v>
      </c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6" t="n"/>
      <c r="K168" s="25" t="n"/>
      <c r="L168" s="25" t="n"/>
      <c r="M168" s="25" t="n"/>
      <c r="N168" s="25" t="n"/>
      <c r="O168" s="27" t="n"/>
      <c r="P168" s="27" t="n"/>
      <c r="Q168" s="25">
        <f>IF(AND(J168&lt;&gt;"",L168&lt;&gt;"Yes",N168&lt;&gt;"Closed won",N168&lt;&gt;"Closed lost",N168&lt;&gt;"No response",N168&lt;&gt;"Skipped",TODAY()-J168&gt;=3),"Follow up","")</f>
        <v/>
      </c>
      <c r="R168" s="25" t="n"/>
    </row>
    <row r="169">
      <c r="A169" s="6" t="n">
        <v>168</v>
      </c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6" t="n"/>
      <c r="K169" s="25" t="n"/>
      <c r="L169" s="25" t="n"/>
      <c r="M169" s="25" t="n"/>
      <c r="N169" s="25" t="n"/>
      <c r="O169" s="27" t="n"/>
      <c r="P169" s="27" t="n"/>
      <c r="Q169" s="25">
        <f>IF(AND(J169&lt;&gt;"",L169&lt;&gt;"Yes",N169&lt;&gt;"Closed won",N169&lt;&gt;"Closed lost",N169&lt;&gt;"No response",N169&lt;&gt;"Skipped",TODAY()-J169&gt;=3),"Follow up","")</f>
        <v/>
      </c>
      <c r="R169" s="25" t="n"/>
    </row>
    <row r="170">
      <c r="A170" s="6" t="n">
        <v>169</v>
      </c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6" t="n"/>
      <c r="K170" s="25" t="n"/>
      <c r="L170" s="25" t="n"/>
      <c r="M170" s="25" t="n"/>
      <c r="N170" s="25" t="n"/>
      <c r="O170" s="27" t="n"/>
      <c r="P170" s="27" t="n"/>
      <c r="Q170" s="25">
        <f>IF(AND(J170&lt;&gt;"",L170&lt;&gt;"Yes",N170&lt;&gt;"Closed won",N170&lt;&gt;"Closed lost",N170&lt;&gt;"No response",N170&lt;&gt;"Skipped",TODAY()-J170&gt;=3),"Follow up","")</f>
        <v/>
      </c>
      <c r="R170" s="25" t="n"/>
    </row>
    <row r="171">
      <c r="A171" s="6" t="n">
        <v>170</v>
      </c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6" t="n"/>
      <c r="K171" s="25" t="n"/>
      <c r="L171" s="25" t="n"/>
      <c r="M171" s="25" t="n"/>
      <c r="N171" s="25" t="n"/>
      <c r="O171" s="27" t="n"/>
      <c r="P171" s="27" t="n"/>
      <c r="Q171" s="25">
        <f>IF(AND(J171&lt;&gt;"",L171&lt;&gt;"Yes",N171&lt;&gt;"Closed won",N171&lt;&gt;"Closed lost",N171&lt;&gt;"No response",N171&lt;&gt;"Skipped",TODAY()-J171&gt;=3),"Follow up","")</f>
        <v/>
      </c>
      <c r="R171" s="25" t="n"/>
    </row>
    <row r="172">
      <c r="A172" s="6" t="n">
        <v>171</v>
      </c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6" t="n"/>
      <c r="K172" s="25" t="n"/>
      <c r="L172" s="25" t="n"/>
      <c r="M172" s="25" t="n"/>
      <c r="N172" s="25" t="n"/>
      <c r="O172" s="27" t="n"/>
      <c r="P172" s="27" t="n"/>
      <c r="Q172" s="25">
        <f>IF(AND(J172&lt;&gt;"",L172&lt;&gt;"Yes",N172&lt;&gt;"Closed won",N172&lt;&gt;"Closed lost",N172&lt;&gt;"No response",N172&lt;&gt;"Skipped",TODAY()-J172&gt;=3),"Follow up","")</f>
        <v/>
      </c>
      <c r="R172" s="25" t="n"/>
    </row>
    <row r="173">
      <c r="A173" s="6" t="n">
        <v>172</v>
      </c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6" t="n"/>
      <c r="K173" s="25" t="n"/>
      <c r="L173" s="25" t="n"/>
      <c r="M173" s="25" t="n"/>
      <c r="N173" s="25" t="n"/>
      <c r="O173" s="27" t="n"/>
      <c r="P173" s="27" t="n"/>
      <c r="Q173" s="25">
        <f>IF(AND(J173&lt;&gt;"",L173&lt;&gt;"Yes",N173&lt;&gt;"Closed won",N173&lt;&gt;"Closed lost",N173&lt;&gt;"No response",N173&lt;&gt;"Skipped",TODAY()-J173&gt;=3),"Follow up","")</f>
        <v/>
      </c>
      <c r="R173" s="25" t="n"/>
    </row>
    <row r="174">
      <c r="A174" s="6" t="n">
        <v>173</v>
      </c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6" t="n"/>
      <c r="K174" s="25" t="n"/>
      <c r="L174" s="25" t="n"/>
      <c r="M174" s="25" t="n"/>
      <c r="N174" s="25" t="n"/>
      <c r="O174" s="27" t="n"/>
      <c r="P174" s="27" t="n"/>
      <c r="Q174" s="25">
        <f>IF(AND(J174&lt;&gt;"",L174&lt;&gt;"Yes",N174&lt;&gt;"Closed won",N174&lt;&gt;"Closed lost",N174&lt;&gt;"No response",N174&lt;&gt;"Skipped",TODAY()-J174&gt;=3),"Follow up","")</f>
        <v/>
      </c>
      <c r="R174" s="25" t="n"/>
    </row>
    <row r="175">
      <c r="A175" s="6" t="n">
        <v>174</v>
      </c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6" t="n"/>
      <c r="K175" s="25" t="n"/>
      <c r="L175" s="25" t="n"/>
      <c r="M175" s="25" t="n"/>
      <c r="N175" s="25" t="n"/>
      <c r="O175" s="27" t="n"/>
      <c r="P175" s="27" t="n"/>
      <c r="Q175" s="25">
        <f>IF(AND(J175&lt;&gt;"",L175&lt;&gt;"Yes",N175&lt;&gt;"Closed won",N175&lt;&gt;"Closed lost",N175&lt;&gt;"No response",N175&lt;&gt;"Skipped",TODAY()-J175&gt;=3),"Follow up","")</f>
        <v/>
      </c>
      <c r="R175" s="25" t="n"/>
    </row>
    <row r="176">
      <c r="A176" s="6" t="n">
        <v>175</v>
      </c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6" t="n"/>
      <c r="K176" s="25" t="n"/>
      <c r="L176" s="25" t="n"/>
      <c r="M176" s="25" t="n"/>
      <c r="N176" s="25" t="n"/>
      <c r="O176" s="27" t="n"/>
      <c r="P176" s="27" t="n"/>
      <c r="Q176" s="25">
        <f>IF(AND(J176&lt;&gt;"",L176&lt;&gt;"Yes",N176&lt;&gt;"Closed won",N176&lt;&gt;"Closed lost",N176&lt;&gt;"No response",N176&lt;&gt;"Skipped",TODAY()-J176&gt;=3),"Follow up","")</f>
        <v/>
      </c>
      <c r="R176" s="25" t="n"/>
    </row>
    <row r="177">
      <c r="A177" s="6" t="n">
        <v>176</v>
      </c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6" t="n"/>
      <c r="K177" s="25" t="n"/>
      <c r="L177" s="25" t="n"/>
      <c r="M177" s="25" t="n"/>
      <c r="N177" s="25" t="n"/>
      <c r="O177" s="27" t="n"/>
      <c r="P177" s="27" t="n"/>
      <c r="Q177" s="25">
        <f>IF(AND(J177&lt;&gt;"",L177&lt;&gt;"Yes",N177&lt;&gt;"Closed won",N177&lt;&gt;"Closed lost",N177&lt;&gt;"No response",N177&lt;&gt;"Skipped",TODAY()-J177&gt;=3),"Follow up","")</f>
        <v/>
      </c>
      <c r="R177" s="25" t="n"/>
    </row>
    <row r="178">
      <c r="A178" s="6" t="n">
        <v>177</v>
      </c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6" t="n"/>
      <c r="K178" s="25" t="n"/>
      <c r="L178" s="25" t="n"/>
      <c r="M178" s="25" t="n"/>
      <c r="N178" s="25" t="n"/>
      <c r="O178" s="27" t="n"/>
      <c r="P178" s="27" t="n"/>
      <c r="Q178" s="25">
        <f>IF(AND(J178&lt;&gt;"",L178&lt;&gt;"Yes",N178&lt;&gt;"Closed won",N178&lt;&gt;"Closed lost",N178&lt;&gt;"No response",N178&lt;&gt;"Skipped",TODAY()-J178&gt;=3),"Follow up","")</f>
        <v/>
      </c>
      <c r="R178" s="25" t="n"/>
    </row>
    <row r="179">
      <c r="A179" s="6" t="n">
        <v>178</v>
      </c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6" t="n"/>
      <c r="K179" s="25" t="n"/>
      <c r="L179" s="25" t="n"/>
      <c r="M179" s="25" t="n"/>
      <c r="N179" s="25" t="n"/>
      <c r="O179" s="27" t="n"/>
      <c r="P179" s="27" t="n"/>
      <c r="Q179" s="25">
        <f>IF(AND(J179&lt;&gt;"",L179&lt;&gt;"Yes",N179&lt;&gt;"Closed won",N179&lt;&gt;"Closed lost",N179&lt;&gt;"No response",N179&lt;&gt;"Skipped",TODAY()-J179&gt;=3),"Follow up","")</f>
        <v/>
      </c>
      <c r="R179" s="25" t="n"/>
    </row>
    <row r="180">
      <c r="A180" s="6" t="n">
        <v>179</v>
      </c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6" t="n"/>
      <c r="K180" s="25" t="n"/>
      <c r="L180" s="25" t="n"/>
      <c r="M180" s="25" t="n"/>
      <c r="N180" s="25" t="n"/>
      <c r="O180" s="27" t="n"/>
      <c r="P180" s="27" t="n"/>
      <c r="Q180" s="25">
        <f>IF(AND(J180&lt;&gt;"",L180&lt;&gt;"Yes",N180&lt;&gt;"Closed won",N180&lt;&gt;"Closed lost",N180&lt;&gt;"No response",N180&lt;&gt;"Skipped",TODAY()-J180&gt;=3),"Follow up","")</f>
        <v/>
      </c>
      <c r="R180" s="25" t="n"/>
    </row>
    <row r="181">
      <c r="A181" s="6" t="n">
        <v>180</v>
      </c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6" t="n"/>
      <c r="K181" s="25" t="n"/>
      <c r="L181" s="25" t="n"/>
      <c r="M181" s="25" t="n"/>
      <c r="N181" s="25" t="n"/>
      <c r="O181" s="27" t="n"/>
      <c r="P181" s="27" t="n"/>
      <c r="Q181" s="25">
        <f>IF(AND(J181&lt;&gt;"",L181&lt;&gt;"Yes",N181&lt;&gt;"Closed won",N181&lt;&gt;"Closed lost",N181&lt;&gt;"No response",N181&lt;&gt;"Skipped",TODAY()-J181&gt;=3),"Follow up","")</f>
        <v/>
      </c>
      <c r="R181" s="25" t="n"/>
    </row>
    <row r="182">
      <c r="A182" s="6" t="n">
        <v>181</v>
      </c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6" t="n"/>
      <c r="K182" s="25" t="n"/>
      <c r="L182" s="25" t="n"/>
      <c r="M182" s="25" t="n"/>
      <c r="N182" s="25" t="n"/>
      <c r="O182" s="27" t="n"/>
      <c r="P182" s="27" t="n"/>
      <c r="Q182" s="25">
        <f>IF(AND(J182&lt;&gt;"",L182&lt;&gt;"Yes",N182&lt;&gt;"Closed won",N182&lt;&gt;"Closed lost",N182&lt;&gt;"No response",N182&lt;&gt;"Skipped",TODAY()-J182&gt;=3),"Follow up","")</f>
        <v/>
      </c>
      <c r="R182" s="25" t="n"/>
    </row>
    <row r="183">
      <c r="A183" s="6" t="n">
        <v>182</v>
      </c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6" t="n"/>
      <c r="K183" s="25" t="n"/>
      <c r="L183" s="25" t="n"/>
      <c r="M183" s="25" t="n"/>
      <c r="N183" s="25" t="n"/>
      <c r="O183" s="27" t="n"/>
      <c r="P183" s="27" t="n"/>
      <c r="Q183" s="25">
        <f>IF(AND(J183&lt;&gt;"",L183&lt;&gt;"Yes",N183&lt;&gt;"Closed won",N183&lt;&gt;"Closed lost",N183&lt;&gt;"No response",N183&lt;&gt;"Skipped",TODAY()-J183&gt;=3),"Follow up","")</f>
        <v/>
      </c>
      <c r="R183" s="25" t="n"/>
    </row>
    <row r="184">
      <c r="A184" s="6" t="n">
        <v>183</v>
      </c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6" t="n"/>
      <c r="K184" s="25" t="n"/>
      <c r="L184" s="25" t="n"/>
      <c r="M184" s="25" t="n"/>
      <c r="N184" s="25" t="n"/>
      <c r="O184" s="27" t="n"/>
      <c r="P184" s="27" t="n"/>
      <c r="Q184" s="25">
        <f>IF(AND(J184&lt;&gt;"",L184&lt;&gt;"Yes",N184&lt;&gt;"Closed won",N184&lt;&gt;"Closed lost",N184&lt;&gt;"No response",N184&lt;&gt;"Skipped",TODAY()-J184&gt;=3),"Follow up","")</f>
        <v/>
      </c>
      <c r="R184" s="25" t="n"/>
    </row>
    <row r="185">
      <c r="A185" s="6" t="n">
        <v>184</v>
      </c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6" t="n"/>
      <c r="K185" s="25" t="n"/>
      <c r="L185" s="25" t="n"/>
      <c r="M185" s="25" t="n"/>
      <c r="N185" s="25" t="n"/>
      <c r="O185" s="27" t="n"/>
      <c r="P185" s="27" t="n"/>
      <c r="Q185" s="25">
        <f>IF(AND(J185&lt;&gt;"",L185&lt;&gt;"Yes",N185&lt;&gt;"Closed won",N185&lt;&gt;"Closed lost",N185&lt;&gt;"No response",N185&lt;&gt;"Skipped",TODAY()-J185&gt;=3),"Follow up","")</f>
        <v/>
      </c>
      <c r="R185" s="25" t="n"/>
    </row>
    <row r="186">
      <c r="A186" s="6" t="n">
        <v>185</v>
      </c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6" t="n"/>
      <c r="K186" s="25" t="n"/>
      <c r="L186" s="25" t="n"/>
      <c r="M186" s="25" t="n"/>
      <c r="N186" s="25" t="n"/>
      <c r="O186" s="27" t="n"/>
      <c r="P186" s="27" t="n"/>
      <c r="Q186" s="25">
        <f>IF(AND(J186&lt;&gt;"",L186&lt;&gt;"Yes",N186&lt;&gt;"Closed won",N186&lt;&gt;"Closed lost",N186&lt;&gt;"No response",N186&lt;&gt;"Skipped",TODAY()-J186&gt;=3),"Follow up","")</f>
        <v/>
      </c>
      <c r="R186" s="25" t="n"/>
    </row>
    <row r="187">
      <c r="A187" s="6" t="n">
        <v>186</v>
      </c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6" t="n"/>
      <c r="K187" s="25" t="n"/>
      <c r="L187" s="25" t="n"/>
      <c r="M187" s="25" t="n"/>
      <c r="N187" s="25" t="n"/>
      <c r="O187" s="27" t="n"/>
      <c r="P187" s="27" t="n"/>
      <c r="Q187" s="25">
        <f>IF(AND(J187&lt;&gt;"",L187&lt;&gt;"Yes",N187&lt;&gt;"Closed won",N187&lt;&gt;"Closed lost",N187&lt;&gt;"No response",N187&lt;&gt;"Skipped",TODAY()-J187&gt;=3),"Follow up","")</f>
        <v/>
      </c>
      <c r="R187" s="25" t="n"/>
    </row>
    <row r="188">
      <c r="A188" s="6" t="n">
        <v>187</v>
      </c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6" t="n"/>
      <c r="K188" s="25" t="n"/>
      <c r="L188" s="25" t="n"/>
      <c r="M188" s="25" t="n"/>
      <c r="N188" s="25" t="n"/>
      <c r="O188" s="27" t="n"/>
      <c r="P188" s="27" t="n"/>
      <c r="Q188" s="25">
        <f>IF(AND(J188&lt;&gt;"",L188&lt;&gt;"Yes",N188&lt;&gt;"Closed won",N188&lt;&gt;"Closed lost",N188&lt;&gt;"No response",N188&lt;&gt;"Skipped",TODAY()-J188&gt;=3),"Follow up","")</f>
        <v/>
      </c>
      <c r="R188" s="25" t="n"/>
    </row>
    <row r="189">
      <c r="A189" s="6" t="n">
        <v>188</v>
      </c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6" t="n"/>
      <c r="K189" s="25" t="n"/>
      <c r="L189" s="25" t="n"/>
      <c r="M189" s="25" t="n"/>
      <c r="N189" s="25" t="n"/>
      <c r="O189" s="27" t="n"/>
      <c r="P189" s="27" t="n"/>
      <c r="Q189" s="25">
        <f>IF(AND(J189&lt;&gt;"",L189&lt;&gt;"Yes",N189&lt;&gt;"Closed won",N189&lt;&gt;"Closed lost",N189&lt;&gt;"No response",N189&lt;&gt;"Skipped",TODAY()-J189&gt;=3),"Follow up","")</f>
        <v/>
      </c>
      <c r="R189" s="25" t="n"/>
    </row>
    <row r="190">
      <c r="A190" s="6" t="n">
        <v>189</v>
      </c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6" t="n"/>
      <c r="K190" s="25" t="n"/>
      <c r="L190" s="25" t="n"/>
      <c r="M190" s="25" t="n"/>
      <c r="N190" s="25" t="n"/>
      <c r="O190" s="27" t="n"/>
      <c r="P190" s="27" t="n"/>
      <c r="Q190" s="25">
        <f>IF(AND(J190&lt;&gt;"",L190&lt;&gt;"Yes",N190&lt;&gt;"Closed won",N190&lt;&gt;"Closed lost",N190&lt;&gt;"No response",N190&lt;&gt;"Skipped",TODAY()-J190&gt;=3),"Follow up","")</f>
        <v/>
      </c>
      <c r="R190" s="25" t="n"/>
    </row>
    <row r="191">
      <c r="A191" s="6" t="n">
        <v>190</v>
      </c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6" t="n"/>
      <c r="K191" s="25" t="n"/>
      <c r="L191" s="25" t="n"/>
      <c r="M191" s="25" t="n"/>
      <c r="N191" s="25" t="n"/>
      <c r="O191" s="27" t="n"/>
      <c r="P191" s="27" t="n"/>
      <c r="Q191" s="25">
        <f>IF(AND(J191&lt;&gt;"",L191&lt;&gt;"Yes",N191&lt;&gt;"Closed won",N191&lt;&gt;"Closed lost",N191&lt;&gt;"No response",N191&lt;&gt;"Skipped",TODAY()-J191&gt;=3),"Follow up","")</f>
        <v/>
      </c>
      <c r="R191" s="25" t="n"/>
    </row>
    <row r="192">
      <c r="A192" s="6" t="n">
        <v>191</v>
      </c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6" t="n"/>
      <c r="K192" s="25" t="n"/>
      <c r="L192" s="25" t="n"/>
      <c r="M192" s="25" t="n"/>
      <c r="N192" s="25" t="n"/>
      <c r="O192" s="27" t="n"/>
      <c r="P192" s="27" t="n"/>
      <c r="Q192" s="25">
        <f>IF(AND(J192&lt;&gt;"",L192&lt;&gt;"Yes",N192&lt;&gt;"Closed won",N192&lt;&gt;"Closed lost",N192&lt;&gt;"No response",N192&lt;&gt;"Skipped",TODAY()-J192&gt;=3),"Follow up","")</f>
        <v/>
      </c>
      <c r="R192" s="25" t="n"/>
    </row>
    <row r="193">
      <c r="A193" s="6" t="n">
        <v>192</v>
      </c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6" t="n"/>
      <c r="K193" s="25" t="n"/>
      <c r="L193" s="25" t="n"/>
      <c r="M193" s="25" t="n"/>
      <c r="N193" s="25" t="n"/>
      <c r="O193" s="27" t="n"/>
      <c r="P193" s="27" t="n"/>
      <c r="Q193" s="25">
        <f>IF(AND(J193&lt;&gt;"",L193&lt;&gt;"Yes",N193&lt;&gt;"Closed won",N193&lt;&gt;"Closed lost",N193&lt;&gt;"No response",N193&lt;&gt;"Skipped",TODAY()-J193&gt;=3),"Follow up","")</f>
        <v/>
      </c>
      <c r="R193" s="25" t="n"/>
    </row>
    <row r="194">
      <c r="A194" s="6" t="n">
        <v>193</v>
      </c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6" t="n"/>
      <c r="K194" s="25" t="n"/>
      <c r="L194" s="25" t="n"/>
      <c r="M194" s="25" t="n"/>
      <c r="N194" s="25" t="n"/>
      <c r="O194" s="27" t="n"/>
      <c r="P194" s="27" t="n"/>
      <c r="Q194" s="25">
        <f>IF(AND(J194&lt;&gt;"",L194&lt;&gt;"Yes",N194&lt;&gt;"Closed won",N194&lt;&gt;"Closed lost",N194&lt;&gt;"No response",N194&lt;&gt;"Skipped",TODAY()-J194&gt;=3),"Follow up","")</f>
        <v/>
      </c>
      <c r="R194" s="25" t="n"/>
    </row>
    <row r="195">
      <c r="A195" s="6" t="n">
        <v>194</v>
      </c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6" t="n"/>
      <c r="K195" s="25" t="n"/>
      <c r="L195" s="25" t="n"/>
      <c r="M195" s="25" t="n"/>
      <c r="N195" s="25" t="n"/>
      <c r="O195" s="27" t="n"/>
      <c r="P195" s="27" t="n"/>
      <c r="Q195" s="25">
        <f>IF(AND(J195&lt;&gt;"",L195&lt;&gt;"Yes",N195&lt;&gt;"Closed won",N195&lt;&gt;"Closed lost",N195&lt;&gt;"No response",N195&lt;&gt;"Skipped",TODAY()-J195&gt;=3),"Follow up","")</f>
        <v/>
      </c>
      <c r="R195" s="25" t="n"/>
    </row>
    <row r="196">
      <c r="A196" s="6" t="n">
        <v>195</v>
      </c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6" t="n"/>
      <c r="K196" s="25" t="n"/>
      <c r="L196" s="25" t="n"/>
      <c r="M196" s="25" t="n"/>
      <c r="N196" s="25" t="n"/>
      <c r="O196" s="27" t="n"/>
      <c r="P196" s="27" t="n"/>
      <c r="Q196" s="25">
        <f>IF(AND(J196&lt;&gt;"",L196&lt;&gt;"Yes",N196&lt;&gt;"Closed won",N196&lt;&gt;"Closed lost",N196&lt;&gt;"No response",N196&lt;&gt;"Skipped",TODAY()-J196&gt;=3),"Follow up","")</f>
        <v/>
      </c>
      <c r="R196" s="25" t="n"/>
    </row>
    <row r="197">
      <c r="A197" s="6" t="n">
        <v>196</v>
      </c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6" t="n"/>
      <c r="K197" s="25" t="n"/>
      <c r="L197" s="25" t="n"/>
      <c r="M197" s="25" t="n"/>
      <c r="N197" s="25" t="n"/>
      <c r="O197" s="27" t="n"/>
      <c r="P197" s="27" t="n"/>
      <c r="Q197" s="25">
        <f>IF(AND(J197&lt;&gt;"",L197&lt;&gt;"Yes",N197&lt;&gt;"Closed won",N197&lt;&gt;"Closed lost",N197&lt;&gt;"No response",N197&lt;&gt;"Skipped",TODAY()-J197&gt;=3),"Follow up","")</f>
        <v/>
      </c>
      <c r="R197" s="25" t="n"/>
    </row>
    <row r="198">
      <c r="A198" s="6" t="n">
        <v>197</v>
      </c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6" t="n"/>
      <c r="K198" s="25" t="n"/>
      <c r="L198" s="25" t="n"/>
      <c r="M198" s="25" t="n"/>
      <c r="N198" s="25" t="n"/>
      <c r="O198" s="27" t="n"/>
      <c r="P198" s="27" t="n"/>
      <c r="Q198" s="25">
        <f>IF(AND(J198&lt;&gt;"",L198&lt;&gt;"Yes",N198&lt;&gt;"Closed won",N198&lt;&gt;"Closed lost",N198&lt;&gt;"No response",N198&lt;&gt;"Skipped",TODAY()-J198&gt;=3),"Follow up","")</f>
        <v/>
      </c>
      <c r="R198" s="25" t="n"/>
    </row>
    <row r="199">
      <c r="A199" s="6" t="n">
        <v>198</v>
      </c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6" t="n"/>
      <c r="K199" s="25" t="n"/>
      <c r="L199" s="25" t="n"/>
      <c r="M199" s="25" t="n"/>
      <c r="N199" s="25" t="n"/>
      <c r="O199" s="27" t="n"/>
      <c r="P199" s="27" t="n"/>
      <c r="Q199" s="25">
        <f>IF(AND(J199&lt;&gt;"",L199&lt;&gt;"Yes",N199&lt;&gt;"Closed won",N199&lt;&gt;"Closed lost",N199&lt;&gt;"No response",N199&lt;&gt;"Skipped",TODAY()-J199&gt;=3),"Follow up","")</f>
        <v/>
      </c>
      <c r="R199" s="25" t="n"/>
    </row>
    <row r="200">
      <c r="A200" s="6" t="n">
        <v>199</v>
      </c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6" t="n"/>
      <c r="K200" s="25" t="n"/>
      <c r="L200" s="25" t="n"/>
      <c r="M200" s="25" t="n"/>
      <c r="N200" s="25" t="n"/>
      <c r="O200" s="27" t="n"/>
      <c r="P200" s="27" t="n"/>
      <c r="Q200" s="25">
        <f>IF(AND(J200&lt;&gt;"",L200&lt;&gt;"Yes",N200&lt;&gt;"Closed won",N200&lt;&gt;"Closed lost",N200&lt;&gt;"No response",N200&lt;&gt;"Skipped",TODAY()-J200&gt;=3),"Follow up","")</f>
        <v/>
      </c>
      <c r="R200" s="25" t="n"/>
    </row>
    <row r="201">
      <c r="A201" s="6" t="n">
        <v>200</v>
      </c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6" t="n"/>
      <c r="K201" s="25" t="n"/>
      <c r="L201" s="25" t="n"/>
      <c r="M201" s="25" t="n"/>
      <c r="N201" s="25" t="n"/>
      <c r="O201" s="27" t="n"/>
      <c r="P201" s="27" t="n"/>
      <c r="Q201" s="25">
        <f>IF(AND(J201&lt;&gt;"",L201&lt;&gt;"Yes",N201&lt;&gt;"Closed won",N201&lt;&gt;"Closed lost",N201&lt;&gt;"No response",N201&lt;&gt;"Skipped",TODAY()-J201&gt;=3),"Follow up","")</f>
        <v/>
      </c>
      <c r="R201" s="25" t="n"/>
    </row>
  </sheetData>
  <autoFilter ref="A1:R201"/>
  <dataValidations count="6">
    <dataValidation sqref="H2:H201" showDropDown="0" showInputMessage="0" showErrorMessage="0" allowBlank="1" type="list">
      <formula1>"No site,Bad site,Facebook only,Has good site"</formula1>
    </dataValidation>
    <dataValidation sqref="I2:I201" showDropDown="0" showInputMessage="0" showErrorMessage="0" allowBlank="1" type="list">
      <formula1>"Yes,No"</formula1>
    </dataValidation>
    <dataValidation sqref="L2:L201" showDropDown="0" showInputMessage="0" showErrorMessage="0" allowBlank="1" type="list">
      <formula1>"Yes,No"</formula1>
    </dataValidation>
    <dataValidation sqref="M2:M201" showDropDown="0" showInputMessage="0" showErrorMessage="0" allowBlank="1" type="list">
      <formula1>"Yes,No"</formula1>
    </dataValidation>
    <dataValidation sqref="K2:K201" showDropDown="0" showInputMessage="0" showErrorMessage="0" allowBlank="1" type="list">
      <formula1>"Call,Email,Visit,Facebook DM,Other"</formula1>
    </dataValidation>
    <dataValidation sqref="N2:N201" showDropDown="0" showInputMessage="0" showErrorMessage="0" allowBlank="1" type="list">
      <formula1>"New,Contacted,Replied,Draft shown,Interested,Closed won,Closed lost,No response,Skipped"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Weekly progress (grouped by the week you first contacted the business)</t>
        </is>
      </c>
    </row>
    <row r="3">
      <c r="A3" s="28" t="inlineStr">
        <is>
          <t>Week</t>
        </is>
      </c>
      <c r="B3" s="28" t="inlineStr">
        <is>
          <t>Week starts</t>
        </is>
      </c>
      <c r="C3" s="28" t="inlineStr">
        <is>
          <t>Target contacts</t>
        </is>
      </c>
      <c r="D3" s="28" t="inlineStr">
        <is>
          <t>Contacted</t>
        </is>
      </c>
      <c r="E3" s="28" t="inlineStr">
        <is>
          <t>% of target</t>
        </is>
      </c>
      <c r="F3" s="28" t="inlineStr">
        <is>
          <t>Replies</t>
        </is>
      </c>
      <c r="G3" s="28" t="inlineStr">
        <is>
          <t>Drafts shown</t>
        </is>
      </c>
      <c r="H3" s="28" t="inlineStr">
        <is>
          <t>Clients won</t>
        </is>
      </c>
    </row>
    <row r="4">
      <c r="A4" s="6" t="n">
        <v>1</v>
      </c>
      <c r="B4" s="29">
        <f>Dashboard!$B$4+7*(A4-1)</f>
        <v/>
      </c>
      <c r="C4" s="6">
        <f>IF(A4&gt;Dashboard!$B$6,0,ROUNDUP(Dashboard!$B$5/Dashboard!$B$6,0))</f>
        <v/>
      </c>
      <c r="D4" s="6">
        <f>COUNTIFS(Prospects!$J$2:$J$201,"&gt;="&amp;B4,Prospects!$J$2:$J$201,"&lt;"&amp;B4+7)</f>
        <v/>
      </c>
      <c r="E4" s="30">
        <f>IF(C4=0,0,D4/C4)</f>
        <v/>
      </c>
      <c r="F4" s="6">
        <f>COUNTIFS(Prospects!$J$2:$J$201,"&gt;="&amp;B4,Prospects!$J$2:$J$201,"&lt;"&amp;B4+7,Prospects!$L$2:$L$201,"Yes")</f>
        <v/>
      </c>
      <c r="G4" s="6">
        <f>COUNTIFS(Prospects!$J$2:$J$201,"&gt;="&amp;B4,Prospects!$J$2:$J$201,"&lt;"&amp;B4+7,Prospects!$M$2:$M$201,"Yes")</f>
        <v/>
      </c>
      <c r="H4" s="6">
        <f>COUNTIFS(Prospects!$J$2:$J$201,"&gt;="&amp;B4,Prospects!$J$2:$J$201,"&lt;"&amp;B4+7,Prospects!$N$2:$N$201,"Closed won")</f>
        <v/>
      </c>
    </row>
    <row r="5">
      <c r="A5" s="6" t="n">
        <v>2</v>
      </c>
      <c r="B5" s="29">
        <f>Dashboard!$B$4+7*(A5-1)</f>
        <v/>
      </c>
      <c r="C5" s="6">
        <f>IF(A5&gt;Dashboard!$B$6,0,ROUNDUP(Dashboard!$B$5/Dashboard!$B$6,0))</f>
        <v/>
      </c>
      <c r="D5" s="6">
        <f>COUNTIFS(Prospects!$J$2:$J$201,"&gt;="&amp;B5,Prospects!$J$2:$J$201,"&lt;"&amp;B5+7)</f>
        <v/>
      </c>
      <c r="E5" s="30">
        <f>IF(C5=0,0,D5/C5)</f>
        <v/>
      </c>
      <c r="F5" s="6">
        <f>COUNTIFS(Prospects!$J$2:$J$201,"&gt;="&amp;B5,Prospects!$J$2:$J$201,"&lt;"&amp;B5+7,Prospects!$L$2:$L$201,"Yes")</f>
        <v/>
      </c>
      <c r="G5" s="6">
        <f>COUNTIFS(Prospects!$J$2:$J$201,"&gt;="&amp;B5,Prospects!$J$2:$J$201,"&lt;"&amp;B5+7,Prospects!$M$2:$M$201,"Yes")</f>
        <v/>
      </c>
      <c r="H5" s="6">
        <f>COUNTIFS(Prospects!$J$2:$J$201,"&gt;="&amp;B5,Prospects!$J$2:$J$201,"&lt;"&amp;B5+7,Prospects!$N$2:$N$201,"Closed won")</f>
        <v/>
      </c>
    </row>
    <row r="6">
      <c r="A6" s="6" t="n">
        <v>3</v>
      </c>
      <c r="B6" s="29">
        <f>Dashboard!$B$4+7*(A6-1)</f>
        <v/>
      </c>
      <c r="C6" s="6">
        <f>IF(A6&gt;Dashboard!$B$6,0,ROUNDUP(Dashboard!$B$5/Dashboard!$B$6,0))</f>
        <v/>
      </c>
      <c r="D6" s="6">
        <f>COUNTIFS(Prospects!$J$2:$J$201,"&gt;="&amp;B6,Prospects!$J$2:$J$201,"&lt;"&amp;B6+7)</f>
        <v/>
      </c>
      <c r="E6" s="30">
        <f>IF(C6=0,0,D6/C6)</f>
        <v/>
      </c>
      <c r="F6" s="6">
        <f>COUNTIFS(Prospects!$J$2:$J$201,"&gt;="&amp;B6,Prospects!$J$2:$J$201,"&lt;"&amp;B6+7,Prospects!$L$2:$L$201,"Yes")</f>
        <v/>
      </c>
      <c r="G6" s="6">
        <f>COUNTIFS(Prospects!$J$2:$J$201,"&gt;="&amp;B6,Prospects!$J$2:$J$201,"&lt;"&amp;B6+7,Prospects!$M$2:$M$201,"Yes")</f>
        <v/>
      </c>
      <c r="H6" s="6">
        <f>COUNTIFS(Prospects!$J$2:$J$201,"&gt;="&amp;B6,Prospects!$J$2:$J$201,"&lt;"&amp;B6+7,Prospects!$N$2:$N$201,"Closed won")</f>
        <v/>
      </c>
    </row>
    <row r="7">
      <c r="A7" s="6" t="n">
        <v>4</v>
      </c>
      <c r="B7" s="29">
        <f>Dashboard!$B$4+7*(A7-1)</f>
        <v/>
      </c>
      <c r="C7" s="6">
        <f>IF(A7&gt;Dashboard!$B$6,0,ROUNDUP(Dashboard!$B$5/Dashboard!$B$6,0))</f>
        <v/>
      </c>
      <c r="D7" s="6">
        <f>COUNTIFS(Prospects!$J$2:$J$201,"&gt;="&amp;B7,Prospects!$J$2:$J$201,"&lt;"&amp;B7+7)</f>
        <v/>
      </c>
      <c r="E7" s="30">
        <f>IF(C7=0,0,D7/C7)</f>
        <v/>
      </c>
      <c r="F7" s="6">
        <f>COUNTIFS(Prospects!$J$2:$J$201,"&gt;="&amp;B7,Prospects!$J$2:$J$201,"&lt;"&amp;B7+7,Prospects!$L$2:$L$201,"Yes")</f>
        <v/>
      </c>
      <c r="G7" s="6">
        <f>COUNTIFS(Prospects!$J$2:$J$201,"&gt;="&amp;B7,Prospects!$J$2:$J$201,"&lt;"&amp;B7+7,Prospects!$M$2:$M$201,"Yes")</f>
        <v/>
      </c>
      <c r="H7" s="6">
        <f>COUNTIFS(Prospects!$J$2:$J$201,"&gt;="&amp;B7,Prospects!$J$2:$J$201,"&lt;"&amp;B7+7,Prospects!$N$2:$N$201,"Closed won")</f>
        <v/>
      </c>
    </row>
    <row r="8">
      <c r="A8" s="6" t="n">
        <v>5</v>
      </c>
      <c r="B8" s="29">
        <f>Dashboard!$B$4+7*(A8-1)</f>
        <v/>
      </c>
      <c r="C8" s="6">
        <f>IF(A8&gt;Dashboard!$B$6,0,ROUNDUP(Dashboard!$B$5/Dashboard!$B$6,0))</f>
        <v/>
      </c>
      <c r="D8" s="6">
        <f>COUNTIFS(Prospects!$J$2:$J$201,"&gt;="&amp;B8,Prospects!$J$2:$J$201,"&lt;"&amp;B8+7)</f>
        <v/>
      </c>
      <c r="E8" s="30">
        <f>IF(C8=0,0,D8/C8)</f>
        <v/>
      </c>
      <c r="F8" s="6">
        <f>COUNTIFS(Prospects!$J$2:$J$201,"&gt;="&amp;B8,Prospects!$J$2:$J$201,"&lt;"&amp;B8+7,Prospects!$L$2:$L$201,"Yes")</f>
        <v/>
      </c>
      <c r="G8" s="6">
        <f>COUNTIFS(Prospects!$J$2:$J$201,"&gt;="&amp;B8,Prospects!$J$2:$J$201,"&lt;"&amp;B8+7,Prospects!$M$2:$M$201,"Yes")</f>
        <v/>
      </c>
      <c r="H8" s="6">
        <f>COUNTIFS(Prospects!$J$2:$J$201,"&gt;="&amp;B8,Prospects!$J$2:$J$201,"&lt;"&amp;B8+7,Prospects!$N$2:$N$201,"Closed won")</f>
        <v/>
      </c>
    </row>
    <row r="9">
      <c r="A9" s="6" t="n">
        <v>6</v>
      </c>
      <c r="B9" s="29">
        <f>Dashboard!$B$4+7*(A9-1)</f>
        <v/>
      </c>
      <c r="C9" s="6">
        <f>IF(A9&gt;Dashboard!$B$6,0,ROUNDUP(Dashboard!$B$5/Dashboard!$B$6,0))</f>
        <v/>
      </c>
      <c r="D9" s="6">
        <f>COUNTIFS(Prospects!$J$2:$J$201,"&gt;="&amp;B9,Prospects!$J$2:$J$201,"&lt;"&amp;B9+7)</f>
        <v/>
      </c>
      <c r="E9" s="30">
        <f>IF(C9=0,0,D9/C9)</f>
        <v/>
      </c>
      <c r="F9" s="6">
        <f>COUNTIFS(Prospects!$J$2:$J$201,"&gt;="&amp;B9,Prospects!$J$2:$J$201,"&lt;"&amp;B9+7,Prospects!$L$2:$L$201,"Yes")</f>
        <v/>
      </c>
      <c r="G9" s="6">
        <f>COUNTIFS(Prospects!$J$2:$J$201,"&gt;="&amp;B9,Prospects!$J$2:$J$201,"&lt;"&amp;B9+7,Prospects!$M$2:$M$201,"Yes")</f>
        <v/>
      </c>
      <c r="H9" s="6">
        <f>COUNTIFS(Prospects!$J$2:$J$201,"&gt;="&amp;B9,Prospects!$J$2:$J$201,"&lt;"&amp;B9+7,Prospects!$N$2:$N$201,"Closed won")</f>
        <v/>
      </c>
    </row>
    <row r="10">
      <c r="A10" s="6" t="n">
        <v>7</v>
      </c>
      <c r="B10" s="29">
        <f>Dashboard!$B$4+7*(A10-1)</f>
        <v/>
      </c>
      <c r="C10" s="6">
        <f>IF(A10&gt;Dashboard!$B$6,0,ROUNDUP(Dashboard!$B$5/Dashboard!$B$6,0))</f>
        <v/>
      </c>
      <c r="D10" s="6">
        <f>COUNTIFS(Prospects!$J$2:$J$201,"&gt;="&amp;B10,Prospects!$J$2:$J$201,"&lt;"&amp;B10+7)</f>
        <v/>
      </c>
      <c r="E10" s="30">
        <f>IF(C10=0,0,D10/C10)</f>
        <v/>
      </c>
      <c r="F10" s="6">
        <f>COUNTIFS(Prospects!$J$2:$J$201,"&gt;="&amp;B10,Prospects!$J$2:$J$201,"&lt;"&amp;B10+7,Prospects!$L$2:$L$201,"Yes")</f>
        <v/>
      </c>
      <c r="G10" s="6">
        <f>COUNTIFS(Prospects!$J$2:$J$201,"&gt;="&amp;B10,Prospects!$J$2:$J$201,"&lt;"&amp;B10+7,Prospects!$M$2:$M$201,"Yes")</f>
        <v/>
      </c>
      <c r="H10" s="6">
        <f>COUNTIFS(Prospects!$J$2:$J$201,"&gt;="&amp;B10,Prospects!$J$2:$J$201,"&lt;"&amp;B10+7,Prospects!$N$2:$N$201,"Closed won")</f>
        <v/>
      </c>
    </row>
    <row r="11">
      <c r="A11" s="6" t="n">
        <v>8</v>
      </c>
      <c r="B11" s="29">
        <f>Dashboard!$B$4+7*(A11-1)</f>
        <v/>
      </c>
      <c r="C11" s="6">
        <f>IF(A11&gt;Dashboard!$B$6,0,ROUNDUP(Dashboard!$B$5/Dashboard!$B$6,0))</f>
        <v/>
      </c>
      <c r="D11" s="6">
        <f>COUNTIFS(Prospects!$J$2:$J$201,"&gt;="&amp;B11,Prospects!$J$2:$J$201,"&lt;"&amp;B11+7)</f>
        <v/>
      </c>
      <c r="E11" s="30">
        <f>IF(C11=0,0,D11/C11)</f>
        <v/>
      </c>
      <c r="F11" s="6">
        <f>COUNTIFS(Prospects!$J$2:$J$201,"&gt;="&amp;B11,Prospects!$J$2:$J$201,"&lt;"&amp;B11+7,Prospects!$L$2:$L$201,"Yes")</f>
        <v/>
      </c>
      <c r="G11" s="6">
        <f>COUNTIFS(Prospects!$J$2:$J$201,"&gt;="&amp;B11,Prospects!$J$2:$J$201,"&lt;"&amp;B11+7,Prospects!$M$2:$M$201,"Yes")</f>
        <v/>
      </c>
      <c r="H11" s="6">
        <f>COUNTIFS(Prospects!$J$2:$J$201,"&gt;="&amp;B11,Prospects!$J$2:$J$201,"&lt;"&amp;B11+7,Prospects!$N$2:$N$201,"Closed won")</f>
        <v/>
      </c>
    </row>
    <row r="12">
      <c r="A12" s="4" t="inlineStr">
        <is>
          <t>Total</t>
        </is>
      </c>
      <c r="C12" s="4">
        <f>SUM(C4:C11)</f>
        <v/>
      </c>
      <c r="D12" s="4">
        <f>SUM(D4:D11)</f>
        <v/>
      </c>
      <c r="E12" s="31">
        <f>IF(C12=0,0,D12/C12)</f>
        <v/>
      </c>
      <c r="F12" s="4">
        <f>SUM(F4:F11)</f>
        <v/>
      </c>
      <c r="G12" s="4">
        <f>SUM(G4:G11)</f>
        <v/>
      </c>
      <c r="H12" s="4">
        <f>SUM(H4:H11)</f>
        <v/>
      </c>
    </row>
    <row r="14">
      <c r="A14" s="11" t="inlineStr">
        <is>
          <t>Weeks beyond your test length show a target of 0. Change the test length on the Dashboard.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2026-10-03T05:07:21Z</dcterms:created>
  <dcterms:modified xsi:type="dcterms:W3CDTF">2026-10-03T05:07:22Z</dcterms:modified>
</cp:coreProperties>
</file>